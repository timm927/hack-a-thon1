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cy\Downloads\Loan Analysis\"/>
    </mc:Choice>
  </mc:AlternateContent>
  <xr:revisionPtr revIDLastSave="0" documentId="13_ncr:1_{1F1193E2-3F7C-4778-B2D3-2E3086F51815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Inputs" sheetId="1" r:id="rId1"/>
    <sheet name="Schedule" sheetId="3" r:id="rId2"/>
    <sheet name="Portfolio" sheetId="4" r:id="rId3"/>
    <sheet name="Valuation" sheetId="2" r:id="rId4"/>
    <sheet name="Summary" sheetId="5" r:id="rId5"/>
  </sheets>
  <definedNames>
    <definedName name="r_base_m">Inputs!$B$17</definedName>
    <definedName name="r_high_m">Inputs!$B$18</definedName>
    <definedName name="r_low_m">Inputs!$B$16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2" i="5"/>
  <c r="D238" i="3"/>
  <c r="D2" i="2"/>
  <c r="H186" i="3"/>
  <c r="H187" i="3"/>
  <c r="H188" i="3"/>
  <c r="H189" i="3"/>
  <c r="H190" i="3"/>
  <c r="H191" i="3"/>
  <c r="H192" i="3"/>
  <c r="H193" i="3"/>
  <c r="B10" i="4" s="1"/>
  <c r="H194" i="3"/>
  <c r="H195" i="3"/>
  <c r="H196" i="3"/>
  <c r="H197" i="3"/>
  <c r="H198" i="3"/>
  <c r="H199" i="3"/>
  <c r="H200" i="3"/>
  <c r="H201" i="3"/>
  <c r="B18" i="4" s="1"/>
  <c r="H202" i="3"/>
  <c r="H203" i="3"/>
  <c r="H204" i="3"/>
  <c r="H205" i="3"/>
  <c r="H206" i="3"/>
  <c r="H207" i="3"/>
  <c r="H208" i="3"/>
  <c r="H209" i="3"/>
  <c r="B26" i="4" s="1"/>
  <c r="H210" i="3"/>
  <c r="H211" i="3"/>
  <c r="H212" i="3"/>
  <c r="H213" i="3"/>
  <c r="H214" i="3"/>
  <c r="H215" i="3"/>
  <c r="H216" i="3"/>
  <c r="H217" i="3"/>
  <c r="B34" i="4" s="1"/>
  <c r="H218" i="3"/>
  <c r="H219" i="3"/>
  <c r="H220" i="3"/>
  <c r="H221" i="3"/>
  <c r="H222" i="3"/>
  <c r="H223" i="3"/>
  <c r="H224" i="3"/>
  <c r="H225" i="3"/>
  <c r="B42" i="4" s="1"/>
  <c r="H226" i="3"/>
  <c r="H227" i="3"/>
  <c r="H228" i="3"/>
  <c r="H229" i="3"/>
  <c r="H230" i="3"/>
  <c r="H231" i="3"/>
  <c r="H232" i="3"/>
  <c r="H233" i="3"/>
  <c r="B50" i="4" s="1"/>
  <c r="H234" i="3"/>
  <c r="H235" i="3"/>
  <c r="H236" i="3"/>
  <c r="H237" i="3"/>
  <c r="H238" i="3"/>
  <c r="H239" i="3"/>
  <c r="H240" i="3"/>
  <c r="H241" i="3"/>
  <c r="B58" i="4" s="1"/>
  <c r="H242" i="3"/>
  <c r="H243" i="3"/>
  <c r="H244" i="3"/>
  <c r="H185" i="3"/>
  <c r="B3" i="4"/>
  <c r="B3" i="2" s="1"/>
  <c r="B2" i="4"/>
  <c r="C2" i="2"/>
  <c r="B4" i="4"/>
  <c r="B5" i="4"/>
  <c r="B6" i="4"/>
  <c r="B7" i="4"/>
  <c r="B8" i="4"/>
  <c r="B9" i="4"/>
  <c r="B11" i="4"/>
  <c r="B12" i="4"/>
  <c r="B13" i="4"/>
  <c r="B14" i="4"/>
  <c r="B15" i="4"/>
  <c r="B16" i="4"/>
  <c r="B17" i="4"/>
  <c r="B19" i="4"/>
  <c r="B20" i="4"/>
  <c r="B21" i="4"/>
  <c r="B22" i="4"/>
  <c r="B23" i="4"/>
  <c r="B24" i="4"/>
  <c r="B25" i="4"/>
  <c r="B27" i="4"/>
  <c r="B28" i="4"/>
  <c r="B29" i="4"/>
  <c r="B30" i="4"/>
  <c r="B31" i="4"/>
  <c r="B32" i="4"/>
  <c r="B33" i="4"/>
  <c r="B35" i="4"/>
  <c r="B36" i="4"/>
  <c r="B37" i="4"/>
  <c r="B38" i="4"/>
  <c r="B39" i="4"/>
  <c r="B40" i="4"/>
  <c r="B41" i="4"/>
  <c r="B43" i="4"/>
  <c r="B44" i="4"/>
  <c r="B45" i="4"/>
  <c r="B46" i="4"/>
  <c r="B47" i="4"/>
  <c r="B48" i="4"/>
  <c r="B49" i="4"/>
  <c r="B51" i="4"/>
  <c r="B52" i="4"/>
  <c r="B53" i="4"/>
  <c r="B54" i="4"/>
  <c r="B55" i="4"/>
  <c r="B56" i="4"/>
  <c r="B57" i="4"/>
  <c r="B59" i="4"/>
  <c r="B60" i="4"/>
  <c r="B61" i="4"/>
  <c r="E552" i="3"/>
  <c r="E551" i="3"/>
  <c r="F551" i="3" s="1"/>
  <c r="G551" i="3" s="1"/>
  <c r="C552" i="3" s="1"/>
  <c r="D552" i="3"/>
  <c r="D553" i="3"/>
  <c r="D554" i="3"/>
  <c r="D555" i="3"/>
  <c r="D556" i="3"/>
  <c r="D557" i="3"/>
  <c r="D558" i="3"/>
  <c r="H560" i="3" s="1"/>
  <c r="D559" i="3"/>
  <c r="H561" i="3" s="1"/>
  <c r="D560" i="3"/>
  <c r="D561" i="3"/>
  <c r="D562" i="3"/>
  <c r="D563" i="3"/>
  <c r="D564" i="3"/>
  <c r="D565" i="3"/>
  <c r="D566" i="3"/>
  <c r="H568" i="3" s="1"/>
  <c r="D567" i="3"/>
  <c r="H569" i="3" s="1"/>
  <c r="D568" i="3"/>
  <c r="D569" i="3"/>
  <c r="D570" i="3"/>
  <c r="D571" i="3"/>
  <c r="D572" i="3"/>
  <c r="D573" i="3"/>
  <c r="D574" i="3"/>
  <c r="H576" i="3" s="1"/>
  <c r="D575" i="3"/>
  <c r="H577" i="3" s="1"/>
  <c r="D576" i="3"/>
  <c r="D577" i="3"/>
  <c r="D578" i="3"/>
  <c r="D579" i="3"/>
  <c r="D580" i="3"/>
  <c r="D581" i="3"/>
  <c r="D582" i="3"/>
  <c r="H584" i="3" s="1"/>
  <c r="D583" i="3"/>
  <c r="H585" i="3" s="1"/>
  <c r="D584" i="3"/>
  <c r="D585" i="3"/>
  <c r="H587" i="3" s="1"/>
  <c r="D586" i="3"/>
  <c r="D587" i="3"/>
  <c r="D588" i="3"/>
  <c r="D589" i="3"/>
  <c r="D590" i="3"/>
  <c r="H592" i="3" s="1"/>
  <c r="D591" i="3"/>
  <c r="H593" i="3" s="1"/>
  <c r="D592" i="3"/>
  <c r="D593" i="3"/>
  <c r="D594" i="3"/>
  <c r="D595" i="3"/>
  <c r="D596" i="3"/>
  <c r="D597" i="3"/>
  <c r="D598" i="3"/>
  <c r="H600" i="3" s="1"/>
  <c r="D599" i="3"/>
  <c r="H601" i="3" s="1"/>
  <c r="D600" i="3"/>
  <c r="D601" i="3"/>
  <c r="D602" i="3"/>
  <c r="D603" i="3"/>
  <c r="D604" i="3"/>
  <c r="D605" i="3"/>
  <c r="D606" i="3"/>
  <c r="H608" i="3" s="1"/>
  <c r="D607" i="3"/>
  <c r="H609" i="3" s="1"/>
  <c r="D608" i="3"/>
  <c r="D609" i="3"/>
  <c r="D610" i="3"/>
  <c r="D551" i="3"/>
  <c r="C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551" i="3"/>
  <c r="H610" i="3"/>
  <c r="H607" i="3"/>
  <c r="H606" i="3"/>
  <c r="H603" i="3"/>
  <c r="H605" i="3"/>
  <c r="H602" i="3"/>
  <c r="H604" i="3"/>
  <c r="H599" i="3"/>
  <c r="H598" i="3"/>
  <c r="H595" i="3"/>
  <c r="H597" i="3"/>
  <c r="H594" i="3"/>
  <c r="H596" i="3"/>
  <c r="H591" i="3"/>
  <c r="H589" i="3"/>
  <c r="H586" i="3"/>
  <c r="H588" i="3"/>
  <c r="H583" i="3"/>
  <c r="H582" i="3"/>
  <c r="H579" i="3"/>
  <c r="H581" i="3"/>
  <c r="H578" i="3"/>
  <c r="H580" i="3"/>
  <c r="H575" i="3"/>
  <c r="H574" i="3"/>
  <c r="H571" i="3"/>
  <c r="H573" i="3"/>
  <c r="H570" i="3"/>
  <c r="H572" i="3"/>
  <c r="H566" i="3"/>
  <c r="H563" i="3"/>
  <c r="H565" i="3"/>
  <c r="H562" i="3"/>
  <c r="H564" i="3"/>
  <c r="H559" i="3"/>
  <c r="H558" i="3"/>
  <c r="H555" i="3"/>
  <c r="H557" i="3"/>
  <c r="H554" i="3"/>
  <c r="H556" i="3"/>
  <c r="H553" i="3"/>
  <c r="H552" i="3"/>
  <c r="H551" i="3"/>
  <c r="F491" i="3"/>
  <c r="F490" i="3"/>
  <c r="E490" i="3"/>
  <c r="D490" i="3"/>
  <c r="D491" i="3"/>
  <c r="D492" i="3"/>
  <c r="D493" i="3"/>
  <c r="D494" i="3"/>
  <c r="H496" i="3" s="1"/>
  <c r="D495" i="3"/>
  <c r="D496" i="3"/>
  <c r="D497" i="3"/>
  <c r="D498" i="3"/>
  <c r="H500" i="3" s="1"/>
  <c r="D499" i="3"/>
  <c r="D500" i="3"/>
  <c r="D501" i="3"/>
  <c r="D502" i="3"/>
  <c r="H504" i="3" s="1"/>
  <c r="D503" i="3"/>
  <c r="H505" i="3" s="1"/>
  <c r="D504" i="3"/>
  <c r="D505" i="3"/>
  <c r="D506" i="3"/>
  <c r="H508" i="3" s="1"/>
  <c r="D507" i="3"/>
  <c r="D508" i="3"/>
  <c r="D509" i="3"/>
  <c r="D510" i="3"/>
  <c r="H512" i="3" s="1"/>
  <c r="D511" i="3"/>
  <c r="H513" i="3" s="1"/>
  <c r="D512" i="3"/>
  <c r="D513" i="3"/>
  <c r="D514" i="3"/>
  <c r="H516" i="3" s="1"/>
  <c r="D515" i="3"/>
  <c r="D516" i="3"/>
  <c r="D517" i="3"/>
  <c r="D518" i="3"/>
  <c r="H520" i="3" s="1"/>
  <c r="D519" i="3"/>
  <c r="D520" i="3"/>
  <c r="H522" i="3" s="1"/>
  <c r="D521" i="3"/>
  <c r="D522" i="3"/>
  <c r="H524" i="3" s="1"/>
  <c r="D523" i="3"/>
  <c r="D524" i="3"/>
  <c r="D525" i="3"/>
  <c r="D526" i="3"/>
  <c r="H528" i="3" s="1"/>
  <c r="D527" i="3"/>
  <c r="D528" i="3"/>
  <c r="D529" i="3"/>
  <c r="H531" i="3" s="1"/>
  <c r="D530" i="3"/>
  <c r="D531" i="3"/>
  <c r="D532" i="3"/>
  <c r="D533" i="3"/>
  <c r="D534" i="3"/>
  <c r="D535" i="3"/>
  <c r="H537" i="3" s="1"/>
  <c r="D536" i="3"/>
  <c r="H538" i="3" s="1"/>
  <c r="D537" i="3"/>
  <c r="H539" i="3" s="1"/>
  <c r="D538" i="3"/>
  <c r="D539" i="3"/>
  <c r="D540" i="3"/>
  <c r="D541" i="3"/>
  <c r="D542" i="3"/>
  <c r="D543" i="3"/>
  <c r="D544" i="3"/>
  <c r="D545" i="3"/>
  <c r="H547" i="3" s="1"/>
  <c r="D546" i="3"/>
  <c r="H548" i="3" s="1"/>
  <c r="D547" i="3"/>
  <c r="D548" i="3"/>
  <c r="D549" i="3"/>
  <c r="C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490" i="3"/>
  <c r="H549" i="3"/>
  <c r="H544" i="3"/>
  <c r="H541" i="3"/>
  <c r="H543" i="3"/>
  <c r="H540" i="3"/>
  <c r="H542" i="3"/>
  <c r="H536" i="3"/>
  <c r="H533" i="3"/>
  <c r="H535" i="3"/>
  <c r="H532" i="3"/>
  <c r="H534" i="3"/>
  <c r="H525" i="3"/>
  <c r="H527" i="3"/>
  <c r="H526" i="3"/>
  <c r="H523" i="3"/>
  <c r="H517" i="3"/>
  <c r="H519" i="3"/>
  <c r="H518" i="3"/>
  <c r="H515" i="3"/>
  <c r="H514" i="3"/>
  <c r="H509" i="3"/>
  <c r="H511" i="3"/>
  <c r="H510" i="3"/>
  <c r="H507" i="3"/>
  <c r="H506" i="3"/>
  <c r="H501" i="3"/>
  <c r="H503" i="3"/>
  <c r="H502" i="3"/>
  <c r="H499" i="3"/>
  <c r="H498" i="3"/>
  <c r="H493" i="3"/>
  <c r="H495" i="3"/>
  <c r="H492" i="3"/>
  <c r="H494" i="3"/>
  <c r="H491" i="3"/>
  <c r="H490" i="3"/>
  <c r="F430" i="3"/>
  <c r="F429" i="3"/>
  <c r="E429" i="3"/>
  <c r="D430" i="3"/>
  <c r="D431" i="3"/>
  <c r="D432" i="3"/>
  <c r="D433" i="3"/>
  <c r="D434" i="3"/>
  <c r="D435" i="3"/>
  <c r="H437" i="3" s="1"/>
  <c r="D436" i="3"/>
  <c r="H438" i="3" s="1"/>
  <c r="D437" i="3"/>
  <c r="H439" i="3" s="1"/>
  <c r="D438" i="3"/>
  <c r="D439" i="3"/>
  <c r="D440" i="3"/>
  <c r="D441" i="3"/>
  <c r="D442" i="3"/>
  <c r="D443" i="3"/>
  <c r="D444" i="3"/>
  <c r="H446" i="3" s="1"/>
  <c r="D445" i="3"/>
  <c r="H447" i="3" s="1"/>
  <c r="D446" i="3"/>
  <c r="D447" i="3"/>
  <c r="D448" i="3"/>
  <c r="H450" i="3" s="1"/>
  <c r="D449" i="3"/>
  <c r="D450" i="3"/>
  <c r="D451" i="3"/>
  <c r="H453" i="3" s="1"/>
  <c r="D452" i="3"/>
  <c r="H454" i="3" s="1"/>
  <c r="D453" i="3"/>
  <c r="H455" i="3" s="1"/>
  <c r="D454" i="3"/>
  <c r="D455" i="3"/>
  <c r="D456" i="3"/>
  <c r="H458" i="3" s="1"/>
  <c r="D457" i="3"/>
  <c r="D458" i="3"/>
  <c r="D459" i="3"/>
  <c r="H461" i="3" s="1"/>
  <c r="D460" i="3"/>
  <c r="H462" i="3" s="1"/>
  <c r="D461" i="3"/>
  <c r="H463" i="3" s="1"/>
  <c r="D462" i="3"/>
  <c r="D463" i="3"/>
  <c r="D464" i="3"/>
  <c r="H466" i="3" s="1"/>
  <c r="D465" i="3"/>
  <c r="D466" i="3"/>
  <c r="D467" i="3"/>
  <c r="H469" i="3" s="1"/>
  <c r="D468" i="3"/>
  <c r="H470" i="3" s="1"/>
  <c r="D469" i="3"/>
  <c r="H471" i="3" s="1"/>
  <c r="D470" i="3"/>
  <c r="D471" i="3"/>
  <c r="D472" i="3"/>
  <c r="H474" i="3" s="1"/>
  <c r="D473" i="3"/>
  <c r="D474" i="3"/>
  <c r="D475" i="3"/>
  <c r="H477" i="3" s="1"/>
  <c r="D476" i="3"/>
  <c r="H478" i="3" s="1"/>
  <c r="D477" i="3"/>
  <c r="H479" i="3" s="1"/>
  <c r="D478" i="3"/>
  <c r="D479" i="3"/>
  <c r="D480" i="3"/>
  <c r="H482" i="3" s="1"/>
  <c r="D481" i="3"/>
  <c r="D482" i="3"/>
  <c r="D483" i="3"/>
  <c r="H485" i="3" s="1"/>
  <c r="D484" i="3"/>
  <c r="H486" i="3" s="1"/>
  <c r="D485" i="3"/>
  <c r="H487" i="3" s="1"/>
  <c r="D486" i="3"/>
  <c r="D487" i="3"/>
  <c r="D488" i="3"/>
  <c r="H488" i="3" s="1"/>
  <c r="D429" i="3"/>
  <c r="C429" i="3"/>
  <c r="G429" i="3" s="1"/>
  <c r="C430" i="3" s="1"/>
  <c r="E430" i="3" s="1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29" i="3"/>
  <c r="H484" i="3"/>
  <c r="H483" i="3"/>
  <c r="H480" i="3"/>
  <c r="H481" i="3"/>
  <c r="H476" i="3"/>
  <c r="H475" i="3"/>
  <c r="H472" i="3"/>
  <c r="H473" i="3"/>
  <c r="H468" i="3"/>
  <c r="H467" i="3"/>
  <c r="H464" i="3"/>
  <c r="H465" i="3"/>
  <c r="H460" i="3"/>
  <c r="H459" i="3"/>
  <c r="H456" i="3"/>
  <c r="H457" i="3"/>
  <c r="H452" i="3"/>
  <c r="H451" i="3"/>
  <c r="H448" i="3"/>
  <c r="H449" i="3"/>
  <c r="H444" i="3"/>
  <c r="H443" i="3"/>
  <c r="H440" i="3"/>
  <c r="H442" i="3"/>
  <c r="H441" i="3"/>
  <c r="H436" i="3"/>
  <c r="H435" i="3"/>
  <c r="H432" i="3"/>
  <c r="H434" i="3"/>
  <c r="H431" i="3"/>
  <c r="H433" i="3"/>
  <c r="H430" i="3"/>
  <c r="H429" i="3"/>
  <c r="F368" i="3"/>
  <c r="E368" i="3"/>
  <c r="D369" i="3"/>
  <c r="D370" i="3"/>
  <c r="D371" i="3"/>
  <c r="D372" i="3"/>
  <c r="D373" i="3"/>
  <c r="D374" i="3"/>
  <c r="H376" i="3" s="1"/>
  <c r="D375" i="3"/>
  <c r="H377" i="3" s="1"/>
  <c r="D376" i="3"/>
  <c r="H378" i="3" s="1"/>
  <c r="D377" i="3"/>
  <c r="D378" i="3"/>
  <c r="D379" i="3"/>
  <c r="D380" i="3"/>
  <c r="D381" i="3"/>
  <c r="D382" i="3"/>
  <c r="H384" i="3" s="1"/>
  <c r="D383" i="3"/>
  <c r="H385" i="3" s="1"/>
  <c r="D384" i="3"/>
  <c r="H386" i="3" s="1"/>
  <c r="D385" i="3"/>
  <c r="D386" i="3"/>
  <c r="D387" i="3"/>
  <c r="D388" i="3"/>
  <c r="D389" i="3"/>
  <c r="D390" i="3"/>
  <c r="H392" i="3" s="1"/>
  <c r="D391" i="3"/>
  <c r="H393" i="3" s="1"/>
  <c r="D392" i="3"/>
  <c r="H394" i="3" s="1"/>
  <c r="D393" i="3"/>
  <c r="D394" i="3"/>
  <c r="D395" i="3"/>
  <c r="D396" i="3"/>
  <c r="D397" i="3"/>
  <c r="D398" i="3"/>
  <c r="H400" i="3" s="1"/>
  <c r="D399" i="3"/>
  <c r="H401" i="3" s="1"/>
  <c r="D400" i="3"/>
  <c r="H402" i="3" s="1"/>
  <c r="D401" i="3"/>
  <c r="D402" i="3"/>
  <c r="D403" i="3"/>
  <c r="D404" i="3"/>
  <c r="D405" i="3"/>
  <c r="D406" i="3"/>
  <c r="H408" i="3" s="1"/>
  <c r="D407" i="3"/>
  <c r="H409" i="3" s="1"/>
  <c r="D408" i="3"/>
  <c r="H410" i="3" s="1"/>
  <c r="D409" i="3"/>
  <c r="D410" i="3"/>
  <c r="D411" i="3"/>
  <c r="D412" i="3"/>
  <c r="D413" i="3"/>
  <c r="D414" i="3"/>
  <c r="H416" i="3" s="1"/>
  <c r="D415" i="3"/>
  <c r="H417" i="3" s="1"/>
  <c r="D416" i="3"/>
  <c r="H418" i="3" s="1"/>
  <c r="D417" i="3"/>
  <c r="D418" i="3"/>
  <c r="D419" i="3"/>
  <c r="D420" i="3"/>
  <c r="D421" i="3"/>
  <c r="D422" i="3"/>
  <c r="H424" i="3" s="1"/>
  <c r="D423" i="3"/>
  <c r="H425" i="3" s="1"/>
  <c r="D424" i="3"/>
  <c r="H426" i="3" s="1"/>
  <c r="D425" i="3"/>
  <c r="D426" i="3"/>
  <c r="D427" i="3"/>
  <c r="D368" i="3"/>
  <c r="H368" i="3" s="1"/>
  <c r="C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368" i="3"/>
  <c r="H427" i="3"/>
  <c r="H423" i="3"/>
  <c r="H422" i="3"/>
  <c r="H421" i="3"/>
  <c r="H420" i="3"/>
  <c r="H419" i="3"/>
  <c r="H415" i="3"/>
  <c r="H414" i="3"/>
  <c r="H413" i="3"/>
  <c r="H412" i="3"/>
  <c r="H411" i="3"/>
  <c r="H407" i="3"/>
  <c r="H406" i="3"/>
  <c r="H405" i="3"/>
  <c r="H404" i="3"/>
  <c r="H403" i="3"/>
  <c r="H399" i="3"/>
  <c r="H398" i="3"/>
  <c r="H397" i="3"/>
  <c r="H396" i="3"/>
  <c r="H395" i="3"/>
  <c r="H391" i="3"/>
  <c r="H390" i="3"/>
  <c r="H389" i="3"/>
  <c r="H388" i="3"/>
  <c r="H387" i="3"/>
  <c r="H383" i="3"/>
  <c r="H382" i="3"/>
  <c r="H381" i="3"/>
  <c r="H380" i="3"/>
  <c r="H379" i="3"/>
  <c r="H375" i="3"/>
  <c r="H374" i="3"/>
  <c r="H373" i="3"/>
  <c r="H372" i="3"/>
  <c r="H369" i="3"/>
  <c r="H371" i="3"/>
  <c r="F307" i="3"/>
  <c r="E307" i="3"/>
  <c r="D308" i="3"/>
  <c r="H310" i="3" s="1"/>
  <c r="D309" i="3"/>
  <c r="D310" i="3"/>
  <c r="D311" i="3"/>
  <c r="D312" i="3"/>
  <c r="D313" i="3"/>
  <c r="H315" i="3" s="1"/>
  <c r="D314" i="3"/>
  <c r="H316" i="3" s="1"/>
  <c r="D315" i="3"/>
  <c r="D316" i="3"/>
  <c r="H318" i="3" s="1"/>
  <c r="D317" i="3"/>
  <c r="D318" i="3"/>
  <c r="D319" i="3"/>
  <c r="D320" i="3"/>
  <c r="D321" i="3"/>
  <c r="D322" i="3"/>
  <c r="H324" i="3" s="1"/>
  <c r="D323" i="3"/>
  <c r="H325" i="3" s="1"/>
  <c r="D324" i="3"/>
  <c r="H326" i="3" s="1"/>
  <c r="D325" i="3"/>
  <c r="D326" i="3"/>
  <c r="D327" i="3"/>
  <c r="D328" i="3"/>
  <c r="D329" i="3"/>
  <c r="H331" i="3" s="1"/>
  <c r="D330" i="3"/>
  <c r="H332" i="3" s="1"/>
  <c r="D331" i="3"/>
  <c r="H333" i="3" s="1"/>
  <c r="D332" i="3"/>
  <c r="H334" i="3" s="1"/>
  <c r="D333" i="3"/>
  <c r="D334" i="3"/>
  <c r="D335" i="3"/>
  <c r="D336" i="3"/>
  <c r="D337" i="3"/>
  <c r="H339" i="3" s="1"/>
  <c r="D338" i="3"/>
  <c r="H340" i="3" s="1"/>
  <c r="D339" i="3"/>
  <c r="H341" i="3" s="1"/>
  <c r="D340" i="3"/>
  <c r="H342" i="3" s="1"/>
  <c r="D341" i="3"/>
  <c r="D342" i="3"/>
  <c r="D343" i="3"/>
  <c r="D344" i="3"/>
  <c r="D345" i="3"/>
  <c r="H347" i="3" s="1"/>
  <c r="D346" i="3"/>
  <c r="H348" i="3" s="1"/>
  <c r="D347" i="3"/>
  <c r="H349" i="3" s="1"/>
  <c r="D348" i="3"/>
  <c r="H350" i="3" s="1"/>
  <c r="D349" i="3"/>
  <c r="D350" i="3"/>
  <c r="D351" i="3"/>
  <c r="D352" i="3"/>
  <c r="D353" i="3"/>
  <c r="H355" i="3" s="1"/>
  <c r="D354" i="3"/>
  <c r="H356" i="3" s="1"/>
  <c r="D355" i="3"/>
  <c r="H357" i="3" s="1"/>
  <c r="D356" i="3"/>
  <c r="H358" i="3" s="1"/>
  <c r="D357" i="3"/>
  <c r="D358" i="3"/>
  <c r="D359" i="3"/>
  <c r="D360" i="3"/>
  <c r="D361" i="3"/>
  <c r="H363" i="3" s="1"/>
  <c r="D362" i="3"/>
  <c r="H364" i="3" s="1"/>
  <c r="D363" i="3"/>
  <c r="H365" i="3" s="1"/>
  <c r="D364" i="3"/>
  <c r="D365" i="3"/>
  <c r="D366" i="3"/>
  <c r="H366" i="3" s="1"/>
  <c r="D307" i="3"/>
  <c r="H307" i="3" s="1"/>
  <c r="C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07" i="3"/>
  <c r="H362" i="3"/>
  <c r="H361" i="3"/>
  <c r="H360" i="3"/>
  <c r="H359" i="3"/>
  <c r="H354" i="3"/>
  <c r="H353" i="3"/>
  <c r="H352" i="3"/>
  <c r="H351" i="3"/>
  <c r="H346" i="3"/>
  <c r="H345" i="3"/>
  <c r="H344" i="3"/>
  <c r="H343" i="3"/>
  <c r="H338" i="3"/>
  <c r="H337" i="3"/>
  <c r="H336" i="3"/>
  <c r="H335" i="3"/>
  <c r="H330" i="3"/>
  <c r="H329" i="3"/>
  <c r="H328" i="3"/>
  <c r="H327" i="3"/>
  <c r="H322" i="3"/>
  <c r="H321" i="3"/>
  <c r="H320" i="3"/>
  <c r="H317" i="3"/>
  <c r="H319" i="3"/>
  <c r="H314" i="3"/>
  <c r="H313" i="3"/>
  <c r="H312" i="3"/>
  <c r="H311" i="3"/>
  <c r="H308" i="3"/>
  <c r="G305" i="3"/>
  <c r="C248" i="3"/>
  <c r="C247" i="3"/>
  <c r="H305" i="3"/>
  <c r="H247" i="3"/>
  <c r="H246" i="3"/>
  <c r="G246" i="3"/>
  <c r="F246" i="3"/>
  <c r="E246" i="3"/>
  <c r="D247" i="3"/>
  <c r="D248" i="3"/>
  <c r="H250" i="3" s="1"/>
  <c r="D249" i="3"/>
  <c r="D250" i="3"/>
  <c r="D251" i="3"/>
  <c r="D252" i="3"/>
  <c r="H254" i="3" s="1"/>
  <c r="D253" i="3"/>
  <c r="H255" i="3" s="1"/>
  <c r="D254" i="3"/>
  <c r="H256" i="3" s="1"/>
  <c r="D255" i="3"/>
  <c r="D256" i="3"/>
  <c r="H258" i="3" s="1"/>
  <c r="D257" i="3"/>
  <c r="D258" i="3"/>
  <c r="D259" i="3"/>
  <c r="D260" i="3"/>
  <c r="H262" i="3" s="1"/>
  <c r="D261" i="3"/>
  <c r="H263" i="3" s="1"/>
  <c r="D262" i="3"/>
  <c r="H264" i="3" s="1"/>
  <c r="D263" i="3"/>
  <c r="D264" i="3"/>
  <c r="H266" i="3" s="1"/>
  <c r="D265" i="3"/>
  <c r="D266" i="3"/>
  <c r="D267" i="3"/>
  <c r="D268" i="3"/>
  <c r="D269" i="3"/>
  <c r="H271" i="3" s="1"/>
  <c r="D270" i="3"/>
  <c r="H272" i="3" s="1"/>
  <c r="D271" i="3"/>
  <c r="D272" i="3"/>
  <c r="D273" i="3"/>
  <c r="D274" i="3"/>
  <c r="D275" i="3"/>
  <c r="D276" i="3"/>
  <c r="H278" i="3" s="1"/>
  <c r="D277" i="3"/>
  <c r="H279" i="3" s="1"/>
  <c r="D278" i="3"/>
  <c r="H280" i="3" s="1"/>
  <c r="D279" i="3"/>
  <c r="D280" i="3"/>
  <c r="D281" i="3"/>
  <c r="D282" i="3"/>
  <c r="D283" i="3"/>
  <c r="D284" i="3"/>
  <c r="D285" i="3"/>
  <c r="H287" i="3" s="1"/>
  <c r="D286" i="3"/>
  <c r="H288" i="3" s="1"/>
  <c r="D287" i="3"/>
  <c r="D288" i="3"/>
  <c r="D289" i="3"/>
  <c r="D290" i="3"/>
  <c r="D291" i="3"/>
  <c r="D292" i="3"/>
  <c r="H294" i="3" s="1"/>
  <c r="D293" i="3"/>
  <c r="H295" i="3" s="1"/>
  <c r="D294" i="3"/>
  <c r="H296" i="3" s="1"/>
  <c r="D295" i="3"/>
  <c r="D296" i="3"/>
  <c r="D297" i="3"/>
  <c r="D298" i="3"/>
  <c r="D299" i="3"/>
  <c r="D300" i="3"/>
  <c r="H302" i="3" s="1"/>
  <c r="D301" i="3"/>
  <c r="H303" i="3" s="1"/>
  <c r="D302" i="3"/>
  <c r="H304" i="3" s="1"/>
  <c r="D303" i="3"/>
  <c r="D304" i="3"/>
  <c r="D305" i="3"/>
  <c r="D246" i="3"/>
  <c r="H248" i="3" s="1"/>
  <c r="C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246" i="3"/>
  <c r="H301" i="3"/>
  <c r="H298" i="3"/>
  <c r="H300" i="3"/>
  <c r="H297" i="3"/>
  <c r="H299" i="3"/>
  <c r="H293" i="3"/>
  <c r="H290" i="3"/>
  <c r="H292" i="3"/>
  <c r="H289" i="3"/>
  <c r="H291" i="3"/>
  <c r="H285" i="3"/>
  <c r="H282" i="3"/>
  <c r="H284" i="3"/>
  <c r="H281" i="3"/>
  <c r="H283" i="3"/>
  <c r="H277" i="3"/>
  <c r="H274" i="3"/>
  <c r="H276" i="3"/>
  <c r="H273" i="3"/>
  <c r="H275" i="3"/>
  <c r="H269" i="3"/>
  <c r="H268" i="3"/>
  <c r="H265" i="3"/>
  <c r="H267" i="3"/>
  <c r="H261" i="3"/>
  <c r="H260" i="3"/>
  <c r="H257" i="3"/>
  <c r="H259" i="3"/>
  <c r="H253" i="3"/>
  <c r="H252" i="3"/>
  <c r="H249" i="3"/>
  <c r="H251" i="3"/>
  <c r="F186" i="3"/>
  <c r="F185" i="3"/>
  <c r="E185" i="3"/>
  <c r="H183" i="3"/>
  <c r="F183" i="3"/>
  <c r="F182" i="3"/>
  <c r="D183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9" i="3"/>
  <c r="D240" i="3"/>
  <c r="D241" i="3"/>
  <c r="D242" i="3"/>
  <c r="D243" i="3"/>
  <c r="D244" i="3"/>
  <c r="C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185" i="3"/>
  <c r="G3" i="3"/>
  <c r="G2" i="3"/>
  <c r="F2" i="3"/>
  <c r="H124" i="3"/>
  <c r="G124" i="3"/>
  <c r="C125" i="3" s="1"/>
  <c r="E125" i="3" s="1"/>
  <c r="F125" i="3" s="1"/>
  <c r="F124" i="3"/>
  <c r="E124" i="3"/>
  <c r="D125" i="3"/>
  <c r="D126" i="3"/>
  <c r="D127" i="3"/>
  <c r="D128" i="3"/>
  <c r="D129" i="3"/>
  <c r="D130" i="3"/>
  <c r="D131" i="3"/>
  <c r="H131" i="3" s="1"/>
  <c r="D132" i="3"/>
  <c r="H132" i="3" s="1"/>
  <c r="D133" i="3"/>
  <c r="D134" i="3"/>
  <c r="D135" i="3"/>
  <c r="D136" i="3"/>
  <c r="D137" i="3"/>
  <c r="D138" i="3"/>
  <c r="D139" i="3"/>
  <c r="D140" i="3"/>
  <c r="H140" i="3" s="1"/>
  <c r="D141" i="3"/>
  <c r="D142" i="3"/>
  <c r="D143" i="3"/>
  <c r="D144" i="3"/>
  <c r="D145" i="3"/>
  <c r="D146" i="3"/>
  <c r="D147" i="3"/>
  <c r="H147" i="3" s="1"/>
  <c r="D148" i="3"/>
  <c r="D149" i="3"/>
  <c r="D150" i="3"/>
  <c r="D151" i="3"/>
  <c r="H151" i="3" s="1"/>
  <c r="D152" i="3"/>
  <c r="D153" i="3"/>
  <c r="D154" i="3"/>
  <c r="D155" i="3"/>
  <c r="H155" i="3" s="1"/>
  <c r="D156" i="3"/>
  <c r="H156" i="3" s="1"/>
  <c r="D157" i="3"/>
  <c r="D158" i="3"/>
  <c r="D159" i="3"/>
  <c r="D160" i="3"/>
  <c r="D161" i="3"/>
  <c r="D162" i="3"/>
  <c r="D163" i="3"/>
  <c r="H163" i="3" s="1"/>
  <c r="D164" i="3"/>
  <c r="H164" i="3" s="1"/>
  <c r="D165" i="3"/>
  <c r="D166" i="3"/>
  <c r="D167" i="3"/>
  <c r="D168" i="3"/>
  <c r="D169" i="3"/>
  <c r="D170" i="3"/>
  <c r="D171" i="3"/>
  <c r="H171" i="3" s="1"/>
  <c r="D172" i="3"/>
  <c r="H172" i="3" s="1"/>
  <c r="D173" i="3"/>
  <c r="D174" i="3"/>
  <c r="D175" i="3"/>
  <c r="D176" i="3"/>
  <c r="D177" i="3"/>
  <c r="D178" i="3"/>
  <c r="D179" i="3"/>
  <c r="H179" i="3" s="1"/>
  <c r="D180" i="3"/>
  <c r="H180" i="3" s="1"/>
  <c r="D181" i="3"/>
  <c r="D182" i="3"/>
  <c r="D124" i="3"/>
  <c r="C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24" i="3"/>
  <c r="H182" i="3"/>
  <c r="H181" i="3"/>
  <c r="H176" i="3"/>
  <c r="H175" i="3"/>
  <c r="H174" i="3"/>
  <c r="H173" i="3"/>
  <c r="H169" i="3"/>
  <c r="H168" i="3"/>
  <c r="H167" i="3"/>
  <c r="H166" i="3"/>
  <c r="H165" i="3"/>
  <c r="H161" i="3"/>
  <c r="H160" i="3"/>
  <c r="H159" i="3"/>
  <c r="H158" i="3"/>
  <c r="H157" i="3"/>
  <c r="H153" i="3"/>
  <c r="H152" i="3"/>
  <c r="H150" i="3"/>
  <c r="H149" i="3"/>
  <c r="H148" i="3"/>
  <c r="H144" i="3"/>
  <c r="H143" i="3"/>
  <c r="H142" i="3"/>
  <c r="H141" i="3"/>
  <c r="H139" i="3"/>
  <c r="H135" i="3"/>
  <c r="H134" i="3"/>
  <c r="H133" i="3"/>
  <c r="H128" i="3"/>
  <c r="H127" i="3"/>
  <c r="H126" i="3"/>
  <c r="H125" i="3"/>
  <c r="F64" i="3"/>
  <c r="G64" i="3" s="1"/>
  <c r="G63" i="3"/>
  <c r="F63" i="3"/>
  <c r="E63" i="3"/>
  <c r="D64" i="3"/>
  <c r="D65" i="3"/>
  <c r="D66" i="3"/>
  <c r="D67" i="3"/>
  <c r="D68" i="3"/>
  <c r="D69" i="3"/>
  <c r="D70" i="3"/>
  <c r="H70" i="3" s="1"/>
  <c r="D71" i="3"/>
  <c r="H71" i="3" s="1"/>
  <c r="D72" i="3"/>
  <c r="D73" i="3"/>
  <c r="D74" i="3"/>
  <c r="D75" i="3"/>
  <c r="D76" i="3"/>
  <c r="D77" i="3"/>
  <c r="D78" i="3"/>
  <c r="H78" i="3" s="1"/>
  <c r="D79" i="3"/>
  <c r="H79" i="3" s="1"/>
  <c r="D80" i="3"/>
  <c r="D81" i="3"/>
  <c r="D82" i="3"/>
  <c r="D83" i="3"/>
  <c r="D84" i="3"/>
  <c r="D85" i="3"/>
  <c r="D86" i="3"/>
  <c r="H86" i="3" s="1"/>
  <c r="D87" i="3"/>
  <c r="H87" i="3" s="1"/>
  <c r="D88" i="3"/>
  <c r="D89" i="3"/>
  <c r="D90" i="3"/>
  <c r="D91" i="3"/>
  <c r="D92" i="3"/>
  <c r="D93" i="3"/>
  <c r="H93" i="3" s="1"/>
  <c r="D94" i="3"/>
  <c r="D95" i="3"/>
  <c r="H95" i="3" s="1"/>
  <c r="D96" i="3"/>
  <c r="D97" i="3"/>
  <c r="D98" i="3"/>
  <c r="D99" i="3"/>
  <c r="D100" i="3"/>
  <c r="D101" i="3"/>
  <c r="H101" i="3" s="1"/>
  <c r="D102" i="3"/>
  <c r="H102" i="3" s="1"/>
  <c r="D103" i="3"/>
  <c r="H103" i="3" s="1"/>
  <c r="D104" i="3"/>
  <c r="D105" i="3"/>
  <c r="H105" i="3" s="1"/>
  <c r="D106" i="3"/>
  <c r="D107" i="3"/>
  <c r="D108" i="3"/>
  <c r="D109" i="3"/>
  <c r="H109" i="3" s="1"/>
  <c r="D110" i="3"/>
  <c r="H110" i="3" s="1"/>
  <c r="D111" i="3"/>
  <c r="H111" i="3" s="1"/>
  <c r="D112" i="3"/>
  <c r="D113" i="3"/>
  <c r="D114" i="3"/>
  <c r="D115" i="3"/>
  <c r="H115" i="3" s="1"/>
  <c r="D116" i="3"/>
  <c r="D117" i="3"/>
  <c r="D118" i="3"/>
  <c r="H118" i="3" s="1"/>
  <c r="D119" i="3"/>
  <c r="H119" i="3" s="1"/>
  <c r="D120" i="3"/>
  <c r="D121" i="3"/>
  <c r="D122" i="3"/>
  <c r="D63" i="3"/>
  <c r="D56" i="3"/>
  <c r="H56" i="3" s="1"/>
  <c r="C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63" i="3"/>
  <c r="H122" i="3"/>
  <c r="H120" i="3"/>
  <c r="H117" i="3"/>
  <c r="H116" i="3"/>
  <c r="H114" i="3"/>
  <c r="H108" i="3"/>
  <c r="H107" i="3"/>
  <c r="H106" i="3"/>
  <c r="H100" i="3"/>
  <c r="H98" i="3"/>
  <c r="H94" i="3"/>
  <c r="H92" i="3"/>
  <c r="H91" i="3"/>
  <c r="H90" i="3"/>
  <c r="H85" i="3"/>
  <c r="H84" i="3"/>
  <c r="H83" i="3"/>
  <c r="H82" i="3"/>
  <c r="H77" i="3"/>
  <c r="H76" i="3"/>
  <c r="H75" i="3"/>
  <c r="H74" i="3"/>
  <c r="H69" i="3"/>
  <c r="H68" i="3"/>
  <c r="H67" i="3"/>
  <c r="H63" i="3"/>
  <c r="C2" i="3"/>
  <c r="D3" i="3"/>
  <c r="H3" i="3" s="1"/>
  <c r="D4" i="3"/>
  <c r="H4" i="3" s="1"/>
  <c r="D5" i="3"/>
  <c r="H5" i="3" s="1"/>
  <c r="D6" i="3"/>
  <c r="H6" i="3" s="1"/>
  <c r="D7" i="3"/>
  <c r="H7" i="3" s="1"/>
  <c r="D8" i="3"/>
  <c r="H8" i="3" s="1"/>
  <c r="D9" i="3"/>
  <c r="H9" i="3" s="1"/>
  <c r="D10" i="3"/>
  <c r="H10" i="3" s="1"/>
  <c r="D11" i="3"/>
  <c r="H11" i="3" s="1"/>
  <c r="D12" i="3"/>
  <c r="H12" i="3" s="1"/>
  <c r="D13" i="3"/>
  <c r="H13" i="3" s="1"/>
  <c r="D14" i="3"/>
  <c r="H14" i="3" s="1"/>
  <c r="D15" i="3"/>
  <c r="H15" i="3" s="1"/>
  <c r="D16" i="3"/>
  <c r="H16" i="3" s="1"/>
  <c r="D17" i="3"/>
  <c r="H17" i="3" s="1"/>
  <c r="D18" i="3"/>
  <c r="H18" i="3" s="1"/>
  <c r="D19" i="3"/>
  <c r="H19" i="3" s="1"/>
  <c r="D20" i="3"/>
  <c r="H20" i="3" s="1"/>
  <c r="D21" i="3"/>
  <c r="H21" i="3" s="1"/>
  <c r="D22" i="3"/>
  <c r="H22" i="3" s="1"/>
  <c r="D23" i="3"/>
  <c r="H23" i="3" s="1"/>
  <c r="D24" i="3"/>
  <c r="H24" i="3" s="1"/>
  <c r="D25" i="3"/>
  <c r="H25" i="3" s="1"/>
  <c r="D26" i="3"/>
  <c r="H26" i="3" s="1"/>
  <c r="D27" i="3"/>
  <c r="H27" i="3" s="1"/>
  <c r="D28" i="3"/>
  <c r="H28" i="3" s="1"/>
  <c r="D29" i="3"/>
  <c r="H29" i="3" s="1"/>
  <c r="D30" i="3"/>
  <c r="H30" i="3" s="1"/>
  <c r="D31" i="3"/>
  <c r="H31" i="3" s="1"/>
  <c r="D32" i="3"/>
  <c r="H32" i="3" s="1"/>
  <c r="D33" i="3"/>
  <c r="H33" i="3" s="1"/>
  <c r="D34" i="3"/>
  <c r="H34" i="3" s="1"/>
  <c r="D35" i="3"/>
  <c r="H35" i="3" s="1"/>
  <c r="D36" i="3"/>
  <c r="H36" i="3" s="1"/>
  <c r="D37" i="3"/>
  <c r="H37" i="3" s="1"/>
  <c r="D38" i="3"/>
  <c r="H38" i="3" s="1"/>
  <c r="D39" i="3"/>
  <c r="H39" i="3" s="1"/>
  <c r="D40" i="3"/>
  <c r="H40" i="3" s="1"/>
  <c r="D41" i="3"/>
  <c r="H41" i="3" s="1"/>
  <c r="D42" i="3"/>
  <c r="H42" i="3" s="1"/>
  <c r="D43" i="3"/>
  <c r="H43" i="3" s="1"/>
  <c r="D44" i="3"/>
  <c r="H44" i="3" s="1"/>
  <c r="D45" i="3"/>
  <c r="H45" i="3" s="1"/>
  <c r="D46" i="3"/>
  <c r="H46" i="3" s="1"/>
  <c r="D47" i="3"/>
  <c r="H47" i="3" s="1"/>
  <c r="D48" i="3"/>
  <c r="H48" i="3" s="1"/>
  <c r="D49" i="3"/>
  <c r="H49" i="3" s="1"/>
  <c r="D50" i="3"/>
  <c r="H50" i="3" s="1"/>
  <c r="D51" i="3"/>
  <c r="H51" i="3" s="1"/>
  <c r="D52" i="3"/>
  <c r="H52" i="3" s="1"/>
  <c r="D53" i="3"/>
  <c r="H53" i="3" s="1"/>
  <c r="D54" i="3"/>
  <c r="H54" i="3" s="1"/>
  <c r="D55" i="3"/>
  <c r="H55" i="3" s="1"/>
  <c r="D57" i="3"/>
  <c r="H57" i="3" s="1"/>
  <c r="D58" i="3"/>
  <c r="H58" i="3" s="1"/>
  <c r="D59" i="3"/>
  <c r="H59" i="3" s="1"/>
  <c r="D60" i="3"/>
  <c r="H60" i="3" s="1"/>
  <c r="D61" i="3"/>
  <c r="H61" i="3" s="1"/>
  <c r="D2" i="3"/>
  <c r="H2" i="3" s="1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18" i="1"/>
  <c r="B17" i="1"/>
  <c r="D4" i="2" s="1"/>
  <c r="B16" i="1"/>
  <c r="C15" i="2" s="1"/>
  <c r="F552" i="3" l="1"/>
  <c r="G552" i="3" s="1"/>
  <c r="C553" i="3" s="1"/>
  <c r="E553" i="3" s="1"/>
  <c r="H590" i="3"/>
  <c r="H567" i="3"/>
  <c r="G490" i="3"/>
  <c r="C491" i="3" s="1"/>
  <c r="H546" i="3"/>
  <c r="H521" i="3"/>
  <c r="H529" i="3"/>
  <c r="H497" i="3"/>
  <c r="H545" i="3"/>
  <c r="H530" i="3"/>
  <c r="B42" i="2" s="1"/>
  <c r="F42" i="2" s="1"/>
  <c r="G430" i="3"/>
  <c r="C431" i="3" s="1"/>
  <c r="E431" i="3" s="1"/>
  <c r="F431" i="3" s="1"/>
  <c r="H445" i="3"/>
  <c r="H370" i="3"/>
  <c r="G368" i="3"/>
  <c r="C369" i="3" s="1"/>
  <c r="B2" i="2"/>
  <c r="H309" i="3"/>
  <c r="G307" i="3"/>
  <c r="C308" i="3" s="1"/>
  <c r="H323" i="3"/>
  <c r="B59" i="2"/>
  <c r="F59" i="2" s="1"/>
  <c r="E247" i="3"/>
  <c r="F247" i="3" s="1"/>
  <c r="G247" i="3" s="1"/>
  <c r="E248" i="3" s="1"/>
  <c r="H270" i="3"/>
  <c r="H286" i="3"/>
  <c r="G185" i="3"/>
  <c r="C186" i="3" s="1"/>
  <c r="E186" i="3" s="1"/>
  <c r="G186" i="3" s="1"/>
  <c r="C187" i="3" s="1"/>
  <c r="E187" i="3" s="1"/>
  <c r="F187" i="3" s="1"/>
  <c r="H138" i="3"/>
  <c r="G125" i="3"/>
  <c r="C126" i="3" s="1"/>
  <c r="E126" i="3" s="1"/>
  <c r="H130" i="3"/>
  <c r="H146" i="3"/>
  <c r="B24" i="2" s="1"/>
  <c r="F24" i="2" s="1"/>
  <c r="H154" i="3"/>
  <c r="H162" i="3"/>
  <c r="B40" i="2" s="1"/>
  <c r="F40" i="2" s="1"/>
  <c r="H170" i="3"/>
  <c r="B48" i="2" s="1"/>
  <c r="F48" i="2" s="1"/>
  <c r="H178" i="3"/>
  <c r="B56" i="2" s="1"/>
  <c r="F56" i="2" s="1"/>
  <c r="H129" i="3"/>
  <c r="H137" i="3"/>
  <c r="B15" i="2" s="1"/>
  <c r="F15" i="2" s="1"/>
  <c r="H145" i="3"/>
  <c r="B23" i="2" s="1"/>
  <c r="F23" i="2" s="1"/>
  <c r="H177" i="3"/>
  <c r="B55" i="2" s="1"/>
  <c r="F55" i="2" s="1"/>
  <c r="H136" i="3"/>
  <c r="B14" i="2" s="1"/>
  <c r="F14" i="2" s="1"/>
  <c r="H66" i="3"/>
  <c r="C64" i="3"/>
  <c r="E64" i="3" s="1"/>
  <c r="B61" i="2"/>
  <c r="F61" i="2" s="1"/>
  <c r="B53" i="2"/>
  <c r="F53" i="2" s="1"/>
  <c r="B45" i="2"/>
  <c r="F45" i="2" s="1"/>
  <c r="B37" i="2"/>
  <c r="F37" i="2" s="1"/>
  <c r="B29" i="2"/>
  <c r="F29" i="2" s="1"/>
  <c r="B21" i="2"/>
  <c r="F21" i="2" s="1"/>
  <c r="B13" i="2"/>
  <c r="F13" i="2" s="1"/>
  <c r="B5" i="2"/>
  <c r="F5" i="2" s="1"/>
  <c r="H65" i="3"/>
  <c r="B4" i="2" s="1"/>
  <c r="H73" i="3"/>
  <c r="B12" i="2" s="1"/>
  <c r="H81" i="3"/>
  <c r="B20" i="2" s="1"/>
  <c r="H89" i="3"/>
  <c r="H97" i="3"/>
  <c r="B36" i="2" s="1"/>
  <c r="H113" i="3"/>
  <c r="H121" i="3"/>
  <c r="B41" i="2"/>
  <c r="F41" i="2" s="1"/>
  <c r="H99" i="3"/>
  <c r="B60" i="2"/>
  <c r="F60" i="2" s="1"/>
  <c r="B52" i="2"/>
  <c r="F52" i="2" s="1"/>
  <c r="B44" i="2"/>
  <c r="F44" i="2" s="1"/>
  <c r="B28" i="2"/>
  <c r="F28" i="2" s="1"/>
  <c r="H64" i="3"/>
  <c r="H72" i="3"/>
  <c r="H80" i="3"/>
  <c r="B19" i="2" s="1"/>
  <c r="H88" i="3"/>
  <c r="H96" i="3"/>
  <c r="B35" i="2" s="1"/>
  <c r="F35" i="2" s="1"/>
  <c r="H104" i="3"/>
  <c r="B43" i="2" s="1"/>
  <c r="F43" i="2" s="1"/>
  <c r="H112" i="3"/>
  <c r="B51" i="2"/>
  <c r="F51" i="2" s="1"/>
  <c r="B11" i="2"/>
  <c r="F11" i="2" s="1"/>
  <c r="B27" i="2"/>
  <c r="F27" i="2" s="1"/>
  <c r="B7" i="2"/>
  <c r="F7" i="2" s="1"/>
  <c r="B54" i="2"/>
  <c r="F54" i="2" s="1"/>
  <c r="B46" i="2"/>
  <c r="F46" i="2" s="1"/>
  <c r="B38" i="2"/>
  <c r="F38" i="2" s="1"/>
  <c r="B30" i="2"/>
  <c r="F30" i="2" s="1"/>
  <c r="B22" i="2"/>
  <c r="F22" i="2" s="1"/>
  <c r="B6" i="2"/>
  <c r="F6" i="2" s="1"/>
  <c r="B47" i="2"/>
  <c r="F47" i="2" s="1"/>
  <c r="B39" i="2"/>
  <c r="F39" i="2" s="1"/>
  <c r="B31" i="2"/>
  <c r="F31" i="2" s="1"/>
  <c r="B58" i="2"/>
  <c r="F58" i="2" s="1"/>
  <c r="B50" i="2"/>
  <c r="F50" i="2" s="1"/>
  <c r="B34" i="2"/>
  <c r="F34" i="2" s="1"/>
  <c r="B26" i="2"/>
  <c r="F26" i="2" s="1"/>
  <c r="B10" i="2"/>
  <c r="F10" i="2" s="1"/>
  <c r="B57" i="2"/>
  <c r="F57" i="2" s="1"/>
  <c r="B49" i="2"/>
  <c r="F49" i="2" s="1"/>
  <c r="B33" i="2"/>
  <c r="F33" i="2" s="1"/>
  <c r="B25" i="2"/>
  <c r="F25" i="2" s="1"/>
  <c r="B17" i="2"/>
  <c r="F17" i="2" s="1"/>
  <c r="B9" i="2"/>
  <c r="F9" i="2" s="1"/>
  <c r="E55" i="2"/>
  <c r="E47" i="2"/>
  <c r="E39" i="2"/>
  <c r="E31" i="2"/>
  <c r="E23" i="2"/>
  <c r="E15" i="2"/>
  <c r="E56" i="2"/>
  <c r="E48" i="2"/>
  <c r="E40" i="2"/>
  <c r="E32" i="2"/>
  <c r="E24" i="2"/>
  <c r="E57" i="2"/>
  <c r="E49" i="2"/>
  <c r="E41" i="2"/>
  <c r="E33" i="2"/>
  <c r="E25" i="2"/>
  <c r="E17" i="2"/>
  <c r="E58" i="2"/>
  <c r="E50" i="2"/>
  <c r="E42" i="2"/>
  <c r="E34" i="2"/>
  <c r="E26" i="2"/>
  <c r="E18" i="2"/>
  <c r="E10" i="2"/>
  <c r="E59" i="2"/>
  <c r="E51" i="2"/>
  <c r="E43" i="2"/>
  <c r="E35" i="2"/>
  <c r="E27" i="2"/>
  <c r="E19" i="2"/>
  <c r="E60" i="2"/>
  <c r="E52" i="2"/>
  <c r="E44" i="2"/>
  <c r="E36" i="2"/>
  <c r="E28" i="2"/>
  <c r="E20" i="2"/>
  <c r="E12" i="2"/>
  <c r="E61" i="2"/>
  <c r="E53" i="2"/>
  <c r="E45" i="2"/>
  <c r="E37" i="2"/>
  <c r="E29" i="2"/>
  <c r="E21" i="2"/>
  <c r="E13" i="2"/>
  <c r="E54" i="2"/>
  <c r="E46" i="2"/>
  <c r="E38" i="2"/>
  <c r="E30" i="2"/>
  <c r="E22" i="2"/>
  <c r="C4" i="2"/>
  <c r="D5" i="2"/>
  <c r="E6" i="2"/>
  <c r="D9" i="2"/>
  <c r="E11" i="2"/>
  <c r="D16" i="2"/>
  <c r="E9" i="2"/>
  <c r="E4" i="2"/>
  <c r="C17" i="2"/>
  <c r="D54" i="2"/>
  <c r="D46" i="2"/>
  <c r="D38" i="2"/>
  <c r="D30" i="2"/>
  <c r="D22" i="2"/>
  <c r="D14" i="2"/>
  <c r="D55" i="2"/>
  <c r="D47" i="2"/>
  <c r="D39" i="2"/>
  <c r="D31" i="2"/>
  <c r="D23" i="2"/>
  <c r="D56" i="2"/>
  <c r="D48" i="2"/>
  <c r="D40" i="2"/>
  <c r="D32" i="2"/>
  <c r="D24" i="2"/>
  <c r="D57" i="2"/>
  <c r="D49" i="2"/>
  <c r="D41" i="2"/>
  <c r="D33" i="2"/>
  <c r="D25" i="2"/>
  <c r="D17" i="2"/>
  <c r="D58" i="2"/>
  <c r="D50" i="2"/>
  <c r="D42" i="2"/>
  <c r="D34" i="2"/>
  <c r="D26" i="2"/>
  <c r="D18" i="2"/>
  <c r="D59" i="2"/>
  <c r="D51" i="2"/>
  <c r="D43" i="2"/>
  <c r="D35" i="2"/>
  <c r="D27" i="2"/>
  <c r="D19" i="2"/>
  <c r="D11" i="2"/>
  <c r="D60" i="2"/>
  <c r="D52" i="2"/>
  <c r="D44" i="2"/>
  <c r="D36" i="2"/>
  <c r="D28" i="2"/>
  <c r="D20" i="2"/>
  <c r="D12" i="2"/>
  <c r="D61" i="2"/>
  <c r="D53" i="2"/>
  <c r="D45" i="2"/>
  <c r="D37" i="2"/>
  <c r="D29" i="2"/>
  <c r="D21" i="2"/>
  <c r="C5" i="2"/>
  <c r="D6" i="2"/>
  <c r="E7" i="2"/>
  <c r="C9" i="2"/>
  <c r="D13" i="2"/>
  <c r="C3" i="2"/>
  <c r="E5" i="2"/>
  <c r="E16" i="2"/>
  <c r="D3" i="2"/>
  <c r="C8" i="2"/>
  <c r="E2" i="2"/>
  <c r="D8" i="2"/>
  <c r="D10" i="2"/>
  <c r="C14" i="2"/>
  <c r="E3" i="2"/>
  <c r="C12" i="2"/>
  <c r="E14" i="2"/>
  <c r="C7" i="2"/>
  <c r="E8" i="2"/>
  <c r="C61" i="2"/>
  <c r="C53" i="2"/>
  <c r="C45" i="2"/>
  <c r="C37" i="2"/>
  <c r="C29" i="2"/>
  <c r="C21" i="2"/>
  <c r="C13" i="2"/>
  <c r="C54" i="2"/>
  <c r="C46" i="2"/>
  <c r="C38" i="2"/>
  <c r="C30" i="2"/>
  <c r="C22" i="2"/>
  <c r="C55" i="2"/>
  <c r="C47" i="2"/>
  <c r="C39" i="2"/>
  <c r="C31" i="2"/>
  <c r="C23" i="2"/>
  <c r="C56" i="2"/>
  <c r="C48" i="2"/>
  <c r="C40" i="2"/>
  <c r="C32" i="2"/>
  <c r="C24" i="2"/>
  <c r="C16" i="2"/>
  <c r="C57" i="2"/>
  <c r="C49" i="2"/>
  <c r="C41" i="2"/>
  <c r="C33" i="2"/>
  <c r="C25" i="2"/>
  <c r="C58" i="2"/>
  <c r="C50" i="2"/>
  <c r="C42" i="2"/>
  <c r="C34" i="2"/>
  <c r="C26" i="2"/>
  <c r="C18" i="2"/>
  <c r="C10" i="2"/>
  <c r="C59" i="2"/>
  <c r="C51" i="2"/>
  <c r="C43" i="2"/>
  <c r="C35" i="2"/>
  <c r="C27" i="2"/>
  <c r="C19" i="2"/>
  <c r="C11" i="2"/>
  <c r="C60" i="2"/>
  <c r="C52" i="2"/>
  <c r="C44" i="2"/>
  <c r="C36" i="2"/>
  <c r="C28" i="2"/>
  <c r="C20" i="2"/>
  <c r="C6" i="2"/>
  <c r="D7" i="2"/>
  <c r="D15" i="2"/>
  <c r="B8" i="2"/>
  <c r="F8" i="2" s="1"/>
  <c r="B16" i="2"/>
  <c r="F16" i="2" s="1"/>
  <c r="B32" i="2"/>
  <c r="F32" i="2" s="1"/>
  <c r="E2" i="3"/>
  <c r="C3" i="3" s="1"/>
  <c r="F2" i="2" l="1"/>
  <c r="G2" i="2"/>
  <c r="G59" i="2"/>
  <c r="F553" i="3"/>
  <c r="G553" i="3" s="1"/>
  <c r="C554" i="3" s="1"/>
  <c r="E554" i="3" s="1"/>
  <c r="B18" i="2"/>
  <c r="F18" i="2" s="1"/>
  <c r="E491" i="3"/>
  <c r="G491" i="3" s="1"/>
  <c r="C492" i="3" s="1"/>
  <c r="E492" i="3" s="1"/>
  <c r="F492" i="3" s="1"/>
  <c r="G492" i="3" s="1"/>
  <c r="C493" i="3" s="1"/>
  <c r="E493" i="3" s="1"/>
  <c r="F3" i="2"/>
  <c r="G431" i="3"/>
  <c r="C432" i="3" s="1"/>
  <c r="E432" i="3" s="1"/>
  <c r="F432" i="3" s="1"/>
  <c r="E369" i="3"/>
  <c r="F369" i="3" s="1"/>
  <c r="G369" i="3" s="1"/>
  <c r="C370" i="3" s="1"/>
  <c r="E370" i="3" s="1"/>
  <c r="F370" i="3" s="1"/>
  <c r="G370" i="3" s="1"/>
  <c r="C371" i="3" s="1"/>
  <c r="E371" i="3" s="1"/>
  <c r="H59" i="2"/>
  <c r="E308" i="3"/>
  <c r="F308" i="3" s="1"/>
  <c r="G308" i="3" s="1"/>
  <c r="C309" i="3" s="1"/>
  <c r="E309" i="3" s="1"/>
  <c r="F309" i="3" s="1"/>
  <c r="G309" i="3" s="1"/>
  <c r="C310" i="3" s="1"/>
  <c r="E310" i="3" s="1"/>
  <c r="H5" i="2"/>
  <c r="G13" i="2"/>
  <c r="H60" i="2"/>
  <c r="G46" i="2"/>
  <c r="F248" i="3"/>
  <c r="G248" i="3" s="1"/>
  <c r="H50" i="2"/>
  <c r="H21" i="2"/>
  <c r="G187" i="3"/>
  <c r="C188" i="3" s="1"/>
  <c r="E188" i="3" s="1"/>
  <c r="F188" i="3" s="1"/>
  <c r="H52" i="2"/>
  <c r="G21" i="2"/>
  <c r="H41" i="2"/>
  <c r="H13" i="2"/>
  <c r="H54" i="2"/>
  <c r="G41" i="2"/>
  <c r="G5" i="2"/>
  <c r="F126" i="3"/>
  <c r="G126" i="3" s="1"/>
  <c r="C127" i="3" s="1"/>
  <c r="E127" i="3" s="1"/>
  <c r="H14" i="2"/>
  <c r="H15" i="2"/>
  <c r="G15" i="2"/>
  <c r="H22" i="2"/>
  <c r="G14" i="2"/>
  <c r="H30" i="2"/>
  <c r="G22" i="2"/>
  <c r="G35" i="2"/>
  <c r="G43" i="2"/>
  <c r="H43" i="2"/>
  <c r="G27" i="2"/>
  <c r="G38" i="2"/>
  <c r="H34" i="2"/>
  <c r="G55" i="2"/>
  <c r="G39" i="2"/>
  <c r="H51" i="2"/>
  <c r="H46" i="2"/>
  <c r="H38" i="2"/>
  <c r="G34" i="2"/>
  <c r="H55" i="2"/>
  <c r="G31" i="2"/>
  <c r="H31" i="2"/>
  <c r="H17" i="2"/>
  <c r="G52" i="2"/>
  <c r="G44" i="2"/>
  <c r="G51" i="2"/>
  <c r="G17" i="2"/>
  <c r="H39" i="2"/>
  <c r="G54" i="2"/>
  <c r="G26" i="2"/>
  <c r="G60" i="2"/>
  <c r="F36" i="2"/>
  <c r="H36" i="2"/>
  <c r="G36" i="2"/>
  <c r="F4" i="2"/>
  <c r="G4" i="2"/>
  <c r="F20" i="2"/>
  <c r="H20" i="2"/>
  <c r="G20" i="2"/>
  <c r="F19" i="2"/>
  <c r="G19" i="2"/>
  <c r="C65" i="3"/>
  <c r="F12" i="2"/>
  <c r="G12" i="2"/>
  <c r="H29" i="2"/>
  <c r="G53" i="2"/>
  <c r="G25" i="2"/>
  <c r="H35" i="2"/>
  <c r="G61" i="2"/>
  <c r="G47" i="2"/>
  <c r="H7" i="2"/>
  <c r="H11" i="2"/>
  <c r="H61" i="2"/>
  <c r="H19" i="2"/>
  <c r="H47" i="2"/>
  <c r="H4" i="2"/>
  <c r="G28" i="2"/>
  <c r="G37" i="2"/>
  <c r="H28" i="2"/>
  <c r="G42" i="2"/>
  <c r="G45" i="2"/>
  <c r="G29" i="2"/>
  <c r="H45" i="2"/>
  <c r="H25" i="2"/>
  <c r="G6" i="2"/>
  <c r="H42" i="2"/>
  <c r="H6" i="2"/>
  <c r="G7" i="2"/>
  <c r="H53" i="2"/>
  <c r="G9" i="2"/>
  <c r="H12" i="2"/>
  <c r="H27" i="2"/>
  <c r="H44" i="2"/>
  <c r="H37" i="2"/>
  <c r="G30" i="2"/>
  <c r="G11" i="2"/>
  <c r="G58" i="2"/>
  <c r="H2" i="2"/>
  <c r="H33" i="2"/>
  <c r="H49" i="2"/>
  <c r="G49" i="2"/>
  <c r="H58" i="2"/>
  <c r="G50" i="2"/>
  <c r="G23" i="2"/>
  <c r="H23" i="2"/>
  <c r="G57" i="2"/>
  <c r="G10" i="2"/>
  <c r="H9" i="2"/>
  <c r="G33" i="2"/>
  <c r="H10" i="2"/>
  <c r="H57" i="2"/>
  <c r="H26" i="2"/>
  <c r="E3" i="3"/>
  <c r="H16" i="2"/>
  <c r="G16" i="2"/>
  <c r="H8" i="2"/>
  <c r="G8" i="2"/>
  <c r="H24" i="2"/>
  <c r="G24" i="2"/>
  <c r="H32" i="2"/>
  <c r="G32" i="2"/>
  <c r="H56" i="2"/>
  <c r="G56" i="2"/>
  <c r="H48" i="2"/>
  <c r="G48" i="2"/>
  <c r="H40" i="2"/>
  <c r="G40" i="2"/>
  <c r="F554" i="3" l="1"/>
  <c r="G554" i="3" s="1"/>
  <c r="C555" i="3" s="1"/>
  <c r="E555" i="3" s="1"/>
  <c r="H18" i="2"/>
  <c r="G18" i="2"/>
  <c r="F493" i="3"/>
  <c r="G493" i="3" s="1"/>
  <c r="C494" i="3" s="1"/>
  <c r="E494" i="3" s="1"/>
  <c r="G3" i="2"/>
  <c r="H3" i="2"/>
  <c r="G432" i="3"/>
  <c r="C433" i="3" s="1"/>
  <c r="E433" i="3" s="1"/>
  <c r="F433" i="3" s="1"/>
  <c r="F371" i="3"/>
  <c r="G371" i="3" s="1"/>
  <c r="C372" i="3" s="1"/>
  <c r="E372" i="3" s="1"/>
  <c r="F310" i="3"/>
  <c r="G310" i="3" s="1"/>
  <c r="C311" i="3" s="1"/>
  <c r="E311" i="3" s="1"/>
  <c r="C249" i="3"/>
  <c r="E249" i="3" s="1"/>
  <c r="F249" i="3" s="1"/>
  <c r="G249" i="3" s="1"/>
  <c r="G188" i="3"/>
  <c r="C189" i="3" s="1"/>
  <c r="E189" i="3" s="1"/>
  <c r="F189" i="3" s="1"/>
  <c r="C4" i="3"/>
  <c r="F3" i="3"/>
  <c r="F127" i="3"/>
  <c r="G127" i="3" s="1"/>
  <c r="C128" i="3" s="1"/>
  <c r="E128" i="3" s="1"/>
  <c r="E65" i="3"/>
  <c r="F65" i="3" s="1"/>
  <c r="F63" i="2"/>
  <c r="G63" i="2" l="1"/>
  <c r="H63" i="2"/>
  <c r="F555" i="3"/>
  <c r="G555" i="3" s="1"/>
  <c r="C556" i="3" s="1"/>
  <c r="E556" i="3" s="1"/>
  <c r="F494" i="3"/>
  <c r="G494" i="3" s="1"/>
  <c r="C495" i="3" s="1"/>
  <c r="E495" i="3" s="1"/>
  <c r="G433" i="3"/>
  <c r="C434" i="3" s="1"/>
  <c r="E434" i="3" s="1"/>
  <c r="F434" i="3" s="1"/>
  <c r="F372" i="3"/>
  <c r="G372" i="3" s="1"/>
  <c r="C373" i="3" s="1"/>
  <c r="E373" i="3" s="1"/>
  <c r="F311" i="3"/>
  <c r="G311" i="3" s="1"/>
  <c r="C312" i="3" s="1"/>
  <c r="E312" i="3" s="1"/>
  <c r="C250" i="3"/>
  <c r="E250" i="3" s="1"/>
  <c r="F250" i="3" s="1"/>
  <c r="G250" i="3" s="1"/>
  <c r="G189" i="3"/>
  <c r="C190" i="3" s="1"/>
  <c r="E190" i="3" s="1"/>
  <c r="F190" i="3" s="1"/>
  <c r="E4" i="3"/>
  <c r="F4" i="3" s="1"/>
  <c r="G4" i="3" s="1"/>
  <c r="F128" i="3"/>
  <c r="G128" i="3" s="1"/>
  <c r="C129" i="3" s="1"/>
  <c r="E129" i="3" s="1"/>
  <c r="G65" i="3"/>
  <c r="C66" i="3" s="1"/>
  <c r="F556" i="3" l="1"/>
  <c r="G556" i="3" s="1"/>
  <c r="C557" i="3" s="1"/>
  <c r="E557" i="3" s="1"/>
  <c r="F495" i="3"/>
  <c r="G495" i="3" s="1"/>
  <c r="C496" i="3" s="1"/>
  <c r="E496" i="3" s="1"/>
  <c r="G434" i="3"/>
  <c r="C435" i="3" s="1"/>
  <c r="E435" i="3" s="1"/>
  <c r="F435" i="3" s="1"/>
  <c r="F373" i="3"/>
  <c r="G373" i="3" s="1"/>
  <c r="C374" i="3" s="1"/>
  <c r="E374" i="3" s="1"/>
  <c r="F312" i="3"/>
  <c r="G312" i="3" s="1"/>
  <c r="C313" i="3" s="1"/>
  <c r="E313" i="3" s="1"/>
  <c r="C251" i="3"/>
  <c r="E251" i="3" s="1"/>
  <c r="F251" i="3" s="1"/>
  <c r="G251" i="3" s="1"/>
  <c r="G190" i="3"/>
  <c r="C191" i="3" s="1"/>
  <c r="E191" i="3" s="1"/>
  <c r="F191" i="3" s="1"/>
  <c r="C5" i="3"/>
  <c r="F129" i="3"/>
  <c r="G129" i="3" s="1"/>
  <c r="C130" i="3" s="1"/>
  <c r="E130" i="3" s="1"/>
  <c r="E66" i="3"/>
  <c r="F66" i="3" s="1"/>
  <c r="F557" i="3" l="1"/>
  <c r="G557" i="3" s="1"/>
  <c r="C558" i="3" s="1"/>
  <c r="E558" i="3" s="1"/>
  <c r="F496" i="3"/>
  <c r="G496" i="3" s="1"/>
  <c r="C497" i="3" s="1"/>
  <c r="E497" i="3" s="1"/>
  <c r="G435" i="3"/>
  <c r="C436" i="3" s="1"/>
  <c r="E436" i="3" s="1"/>
  <c r="F436" i="3" s="1"/>
  <c r="F374" i="3"/>
  <c r="G374" i="3" s="1"/>
  <c r="C375" i="3" s="1"/>
  <c r="E375" i="3" s="1"/>
  <c r="F313" i="3"/>
  <c r="G313" i="3" s="1"/>
  <c r="C314" i="3" s="1"/>
  <c r="E314" i="3" s="1"/>
  <c r="C252" i="3"/>
  <c r="E252" i="3" s="1"/>
  <c r="F252" i="3" s="1"/>
  <c r="G252" i="3" s="1"/>
  <c r="G191" i="3"/>
  <c r="C192" i="3" s="1"/>
  <c r="E192" i="3" s="1"/>
  <c r="F192" i="3" s="1"/>
  <c r="E5" i="3"/>
  <c r="F5" i="3" s="1"/>
  <c r="G5" i="3" s="1"/>
  <c r="F130" i="3"/>
  <c r="G130" i="3" s="1"/>
  <c r="C131" i="3" s="1"/>
  <c r="E131" i="3" s="1"/>
  <c r="G66" i="3"/>
  <c r="C67" i="3" s="1"/>
  <c r="F558" i="3" l="1"/>
  <c r="G558" i="3" s="1"/>
  <c r="C559" i="3" s="1"/>
  <c r="E559" i="3" s="1"/>
  <c r="F497" i="3"/>
  <c r="G497" i="3" s="1"/>
  <c r="C498" i="3" s="1"/>
  <c r="E498" i="3" s="1"/>
  <c r="G436" i="3"/>
  <c r="C437" i="3" s="1"/>
  <c r="E437" i="3" s="1"/>
  <c r="F437" i="3" s="1"/>
  <c r="F375" i="3"/>
  <c r="G375" i="3" s="1"/>
  <c r="C376" i="3" s="1"/>
  <c r="E376" i="3" s="1"/>
  <c r="F314" i="3"/>
  <c r="G314" i="3" s="1"/>
  <c r="C315" i="3" s="1"/>
  <c r="E315" i="3" s="1"/>
  <c r="C253" i="3"/>
  <c r="E253" i="3" s="1"/>
  <c r="F253" i="3" s="1"/>
  <c r="G253" i="3" s="1"/>
  <c r="G192" i="3"/>
  <c r="C193" i="3" s="1"/>
  <c r="E193" i="3" s="1"/>
  <c r="F193" i="3" s="1"/>
  <c r="C6" i="3"/>
  <c r="F131" i="3"/>
  <c r="G131" i="3" s="1"/>
  <c r="C132" i="3" s="1"/>
  <c r="E132" i="3" s="1"/>
  <c r="E67" i="3"/>
  <c r="F67" i="3" s="1"/>
  <c r="F559" i="3" l="1"/>
  <c r="G559" i="3" s="1"/>
  <c r="C560" i="3" s="1"/>
  <c r="E560" i="3" s="1"/>
  <c r="F498" i="3"/>
  <c r="G498" i="3" s="1"/>
  <c r="C499" i="3" s="1"/>
  <c r="E499" i="3" s="1"/>
  <c r="G437" i="3"/>
  <c r="C438" i="3" s="1"/>
  <c r="E438" i="3" s="1"/>
  <c r="F438" i="3" s="1"/>
  <c r="F376" i="3"/>
  <c r="G376" i="3" s="1"/>
  <c r="C377" i="3" s="1"/>
  <c r="E377" i="3" s="1"/>
  <c r="F315" i="3"/>
  <c r="G315" i="3" s="1"/>
  <c r="C316" i="3" s="1"/>
  <c r="E316" i="3" s="1"/>
  <c r="C254" i="3"/>
  <c r="E254" i="3" s="1"/>
  <c r="F254" i="3" s="1"/>
  <c r="G254" i="3" s="1"/>
  <c r="G193" i="3"/>
  <c r="C194" i="3" s="1"/>
  <c r="E194" i="3" s="1"/>
  <c r="F194" i="3" s="1"/>
  <c r="E6" i="3"/>
  <c r="F6" i="3" s="1"/>
  <c r="G6" i="3" s="1"/>
  <c r="F132" i="3"/>
  <c r="G132" i="3" s="1"/>
  <c r="C133" i="3" s="1"/>
  <c r="E133" i="3" s="1"/>
  <c r="G67" i="3"/>
  <c r="C68" i="3" s="1"/>
  <c r="F560" i="3" l="1"/>
  <c r="G560" i="3" s="1"/>
  <c r="C561" i="3" s="1"/>
  <c r="E561" i="3" s="1"/>
  <c r="F499" i="3"/>
  <c r="G499" i="3" s="1"/>
  <c r="C500" i="3" s="1"/>
  <c r="E500" i="3" s="1"/>
  <c r="G438" i="3"/>
  <c r="C439" i="3" s="1"/>
  <c r="E439" i="3" s="1"/>
  <c r="F439" i="3" s="1"/>
  <c r="F377" i="3"/>
  <c r="G377" i="3" s="1"/>
  <c r="C378" i="3" s="1"/>
  <c r="E378" i="3" s="1"/>
  <c r="F316" i="3"/>
  <c r="G316" i="3" s="1"/>
  <c r="C317" i="3" s="1"/>
  <c r="E317" i="3" s="1"/>
  <c r="C255" i="3"/>
  <c r="E255" i="3" s="1"/>
  <c r="F255" i="3" s="1"/>
  <c r="G255" i="3" s="1"/>
  <c r="G194" i="3"/>
  <c r="C195" i="3" s="1"/>
  <c r="E195" i="3" s="1"/>
  <c r="F195" i="3" s="1"/>
  <c r="C7" i="3"/>
  <c r="F133" i="3"/>
  <c r="G133" i="3" s="1"/>
  <c r="C134" i="3" s="1"/>
  <c r="E134" i="3" s="1"/>
  <c r="E68" i="3"/>
  <c r="F68" i="3" s="1"/>
  <c r="F561" i="3" l="1"/>
  <c r="G561" i="3" s="1"/>
  <c r="C562" i="3" s="1"/>
  <c r="E562" i="3" s="1"/>
  <c r="F500" i="3"/>
  <c r="G500" i="3" s="1"/>
  <c r="C501" i="3" s="1"/>
  <c r="E501" i="3" s="1"/>
  <c r="G439" i="3"/>
  <c r="C440" i="3" s="1"/>
  <c r="E440" i="3" s="1"/>
  <c r="F440" i="3" s="1"/>
  <c r="F378" i="3"/>
  <c r="G378" i="3" s="1"/>
  <c r="C379" i="3" s="1"/>
  <c r="E379" i="3" s="1"/>
  <c r="F317" i="3"/>
  <c r="G317" i="3" s="1"/>
  <c r="C318" i="3" s="1"/>
  <c r="E318" i="3" s="1"/>
  <c r="C256" i="3"/>
  <c r="E256" i="3" s="1"/>
  <c r="F256" i="3" s="1"/>
  <c r="G256" i="3" s="1"/>
  <c r="G195" i="3"/>
  <c r="C196" i="3" s="1"/>
  <c r="E196" i="3" s="1"/>
  <c r="F196" i="3" s="1"/>
  <c r="E7" i="3"/>
  <c r="F7" i="3" s="1"/>
  <c r="G7" i="3" s="1"/>
  <c r="F134" i="3"/>
  <c r="G134" i="3" s="1"/>
  <c r="C135" i="3" s="1"/>
  <c r="E135" i="3" s="1"/>
  <c r="G68" i="3"/>
  <c r="C69" i="3" s="1"/>
  <c r="F562" i="3" l="1"/>
  <c r="G562" i="3" s="1"/>
  <c r="C563" i="3" s="1"/>
  <c r="E563" i="3" s="1"/>
  <c r="F501" i="3"/>
  <c r="G501" i="3" s="1"/>
  <c r="C502" i="3" s="1"/>
  <c r="E502" i="3" s="1"/>
  <c r="G440" i="3"/>
  <c r="C441" i="3" s="1"/>
  <c r="E441" i="3" s="1"/>
  <c r="F441" i="3" s="1"/>
  <c r="F379" i="3"/>
  <c r="G379" i="3" s="1"/>
  <c r="C380" i="3" s="1"/>
  <c r="E380" i="3" s="1"/>
  <c r="F318" i="3"/>
  <c r="G318" i="3" s="1"/>
  <c r="C319" i="3" s="1"/>
  <c r="E319" i="3" s="1"/>
  <c r="C257" i="3"/>
  <c r="E257" i="3" s="1"/>
  <c r="F257" i="3" s="1"/>
  <c r="G257" i="3" s="1"/>
  <c r="G196" i="3"/>
  <c r="C197" i="3" s="1"/>
  <c r="E197" i="3" s="1"/>
  <c r="F197" i="3" s="1"/>
  <c r="C8" i="3"/>
  <c r="F135" i="3"/>
  <c r="G135" i="3" s="1"/>
  <c r="C136" i="3" s="1"/>
  <c r="E136" i="3" s="1"/>
  <c r="E69" i="3"/>
  <c r="F563" i="3" l="1"/>
  <c r="G563" i="3" s="1"/>
  <c r="C564" i="3" s="1"/>
  <c r="E564" i="3" s="1"/>
  <c r="F502" i="3"/>
  <c r="G502" i="3" s="1"/>
  <c r="C503" i="3" s="1"/>
  <c r="E503" i="3" s="1"/>
  <c r="G441" i="3"/>
  <c r="C442" i="3" s="1"/>
  <c r="E442" i="3" s="1"/>
  <c r="F442" i="3" s="1"/>
  <c r="F380" i="3"/>
  <c r="G380" i="3" s="1"/>
  <c r="C381" i="3" s="1"/>
  <c r="E381" i="3" s="1"/>
  <c r="F319" i="3"/>
  <c r="G319" i="3" s="1"/>
  <c r="C320" i="3" s="1"/>
  <c r="E320" i="3" s="1"/>
  <c r="C258" i="3"/>
  <c r="E258" i="3" s="1"/>
  <c r="F258" i="3" s="1"/>
  <c r="G258" i="3" s="1"/>
  <c r="G197" i="3"/>
  <c r="C198" i="3" s="1"/>
  <c r="E198" i="3" s="1"/>
  <c r="F198" i="3" s="1"/>
  <c r="E8" i="3"/>
  <c r="F8" i="3" s="1"/>
  <c r="G8" i="3" s="1"/>
  <c r="F136" i="3"/>
  <c r="G136" i="3" s="1"/>
  <c r="C137" i="3" s="1"/>
  <c r="E137" i="3" s="1"/>
  <c r="F69" i="3"/>
  <c r="G69" i="3" s="1"/>
  <c r="C70" i="3" s="1"/>
  <c r="F564" i="3" l="1"/>
  <c r="G564" i="3" s="1"/>
  <c r="C565" i="3" s="1"/>
  <c r="E565" i="3" s="1"/>
  <c r="F503" i="3"/>
  <c r="G503" i="3" s="1"/>
  <c r="C504" i="3" s="1"/>
  <c r="E504" i="3" s="1"/>
  <c r="G442" i="3"/>
  <c r="C443" i="3" s="1"/>
  <c r="E443" i="3" s="1"/>
  <c r="F443" i="3" s="1"/>
  <c r="F381" i="3"/>
  <c r="G381" i="3" s="1"/>
  <c r="C382" i="3" s="1"/>
  <c r="E382" i="3" s="1"/>
  <c r="F320" i="3"/>
  <c r="G320" i="3" s="1"/>
  <c r="C321" i="3" s="1"/>
  <c r="E321" i="3" s="1"/>
  <c r="C259" i="3"/>
  <c r="E259" i="3" s="1"/>
  <c r="F259" i="3" s="1"/>
  <c r="G259" i="3" s="1"/>
  <c r="G198" i="3"/>
  <c r="C199" i="3" s="1"/>
  <c r="E199" i="3" s="1"/>
  <c r="F199" i="3" s="1"/>
  <c r="C9" i="3"/>
  <c r="F137" i="3"/>
  <c r="G137" i="3" s="1"/>
  <c r="C138" i="3" s="1"/>
  <c r="E138" i="3" s="1"/>
  <c r="E70" i="3"/>
  <c r="F565" i="3" l="1"/>
  <c r="G565" i="3" s="1"/>
  <c r="C566" i="3" s="1"/>
  <c r="E566" i="3" s="1"/>
  <c r="F504" i="3"/>
  <c r="G504" i="3" s="1"/>
  <c r="C505" i="3" s="1"/>
  <c r="E505" i="3" s="1"/>
  <c r="G443" i="3"/>
  <c r="C444" i="3" s="1"/>
  <c r="E444" i="3" s="1"/>
  <c r="F444" i="3" s="1"/>
  <c r="F382" i="3"/>
  <c r="G382" i="3" s="1"/>
  <c r="C383" i="3" s="1"/>
  <c r="E383" i="3" s="1"/>
  <c r="F321" i="3"/>
  <c r="G321" i="3" s="1"/>
  <c r="C322" i="3" s="1"/>
  <c r="E322" i="3" s="1"/>
  <c r="C260" i="3"/>
  <c r="E260" i="3" s="1"/>
  <c r="F260" i="3" s="1"/>
  <c r="G260" i="3" s="1"/>
  <c r="G199" i="3"/>
  <c r="C200" i="3" s="1"/>
  <c r="E200" i="3" s="1"/>
  <c r="F200" i="3" s="1"/>
  <c r="E9" i="3"/>
  <c r="F9" i="3" s="1"/>
  <c r="G9" i="3" s="1"/>
  <c r="F138" i="3"/>
  <c r="G138" i="3" s="1"/>
  <c r="C139" i="3" s="1"/>
  <c r="E139" i="3" s="1"/>
  <c r="F70" i="3"/>
  <c r="G70" i="3" s="1"/>
  <c r="C71" i="3" s="1"/>
  <c r="F566" i="3" l="1"/>
  <c r="G566" i="3" s="1"/>
  <c r="C567" i="3" s="1"/>
  <c r="E567" i="3" s="1"/>
  <c r="F505" i="3"/>
  <c r="G505" i="3" s="1"/>
  <c r="C506" i="3" s="1"/>
  <c r="E506" i="3" s="1"/>
  <c r="G444" i="3"/>
  <c r="C445" i="3" s="1"/>
  <c r="E445" i="3" s="1"/>
  <c r="F445" i="3" s="1"/>
  <c r="F383" i="3"/>
  <c r="G383" i="3" s="1"/>
  <c r="C384" i="3" s="1"/>
  <c r="E384" i="3" s="1"/>
  <c r="F322" i="3"/>
  <c r="G322" i="3" s="1"/>
  <c r="C323" i="3" s="1"/>
  <c r="E323" i="3" s="1"/>
  <c r="C261" i="3"/>
  <c r="E261" i="3" s="1"/>
  <c r="F261" i="3" s="1"/>
  <c r="G261" i="3" s="1"/>
  <c r="G200" i="3"/>
  <c r="C201" i="3" s="1"/>
  <c r="E201" i="3" s="1"/>
  <c r="F201" i="3" s="1"/>
  <c r="C10" i="3"/>
  <c r="F139" i="3"/>
  <c r="G139" i="3" s="1"/>
  <c r="C140" i="3" s="1"/>
  <c r="E140" i="3" s="1"/>
  <c r="E71" i="3"/>
  <c r="F71" i="3" s="1"/>
  <c r="F567" i="3" l="1"/>
  <c r="G567" i="3" s="1"/>
  <c r="C568" i="3" s="1"/>
  <c r="E568" i="3" s="1"/>
  <c r="F506" i="3"/>
  <c r="G506" i="3" s="1"/>
  <c r="C507" i="3" s="1"/>
  <c r="E507" i="3" s="1"/>
  <c r="G445" i="3"/>
  <c r="C446" i="3" s="1"/>
  <c r="E446" i="3" s="1"/>
  <c r="F446" i="3" s="1"/>
  <c r="F384" i="3"/>
  <c r="G384" i="3" s="1"/>
  <c r="C385" i="3" s="1"/>
  <c r="E385" i="3" s="1"/>
  <c r="F323" i="3"/>
  <c r="G323" i="3" s="1"/>
  <c r="C324" i="3" s="1"/>
  <c r="E324" i="3" s="1"/>
  <c r="C262" i="3"/>
  <c r="E262" i="3" s="1"/>
  <c r="F262" i="3" s="1"/>
  <c r="G262" i="3" s="1"/>
  <c r="G201" i="3"/>
  <c r="C202" i="3" s="1"/>
  <c r="E202" i="3" s="1"/>
  <c r="F202" i="3" s="1"/>
  <c r="E10" i="3"/>
  <c r="F10" i="3" s="1"/>
  <c r="G10" i="3" s="1"/>
  <c r="F140" i="3"/>
  <c r="G140" i="3" s="1"/>
  <c r="C141" i="3" s="1"/>
  <c r="E141" i="3" s="1"/>
  <c r="G71" i="3"/>
  <c r="C72" i="3" s="1"/>
  <c r="F568" i="3" l="1"/>
  <c r="G568" i="3" s="1"/>
  <c r="C569" i="3" s="1"/>
  <c r="E569" i="3" s="1"/>
  <c r="F507" i="3"/>
  <c r="G507" i="3" s="1"/>
  <c r="C508" i="3" s="1"/>
  <c r="E508" i="3" s="1"/>
  <c r="G446" i="3"/>
  <c r="C447" i="3" s="1"/>
  <c r="E447" i="3" s="1"/>
  <c r="F447" i="3" s="1"/>
  <c r="F385" i="3"/>
  <c r="G385" i="3" s="1"/>
  <c r="C386" i="3" s="1"/>
  <c r="E386" i="3" s="1"/>
  <c r="F324" i="3"/>
  <c r="G324" i="3" s="1"/>
  <c r="C325" i="3" s="1"/>
  <c r="E325" i="3" s="1"/>
  <c r="C263" i="3"/>
  <c r="E263" i="3" s="1"/>
  <c r="F263" i="3" s="1"/>
  <c r="G263" i="3" s="1"/>
  <c r="G202" i="3"/>
  <c r="C203" i="3" s="1"/>
  <c r="E203" i="3" s="1"/>
  <c r="F203" i="3" s="1"/>
  <c r="C11" i="3"/>
  <c r="F141" i="3"/>
  <c r="G141" i="3" s="1"/>
  <c r="C142" i="3" s="1"/>
  <c r="E142" i="3" s="1"/>
  <c r="E72" i="3"/>
  <c r="F72" i="3" s="1"/>
  <c r="G72" i="3" s="1"/>
  <c r="F569" i="3" l="1"/>
  <c r="G569" i="3" s="1"/>
  <c r="C570" i="3" s="1"/>
  <c r="E570" i="3" s="1"/>
  <c r="F508" i="3"/>
  <c r="G508" i="3" s="1"/>
  <c r="C509" i="3" s="1"/>
  <c r="E509" i="3" s="1"/>
  <c r="G447" i="3"/>
  <c r="C448" i="3" s="1"/>
  <c r="E448" i="3" s="1"/>
  <c r="F448" i="3" s="1"/>
  <c r="F386" i="3"/>
  <c r="G386" i="3" s="1"/>
  <c r="C387" i="3" s="1"/>
  <c r="E387" i="3" s="1"/>
  <c r="F325" i="3"/>
  <c r="G325" i="3" s="1"/>
  <c r="C326" i="3" s="1"/>
  <c r="E326" i="3" s="1"/>
  <c r="E264" i="3"/>
  <c r="F264" i="3" s="1"/>
  <c r="G264" i="3" s="1"/>
  <c r="C264" i="3"/>
  <c r="G203" i="3"/>
  <c r="C204" i="3" s="1"/>
  <c r="E204" i="3" s="1"/>
  <c r="F204" i="3" s="1"/>
  <c r="E11" i="3"/>
  <c r="F11" i="3" s="1"/>
  <c r="G11" i="3" s="1"/>
  <c r="F142" i="3"/>
  <c r="G142" i="3" s="1"/>
  <c r="C143" i="3" s="1"/>
  <c r="E143" i="3" s="1"/>
  <c r="C73" i="3"/>
  <c r="F570" i="3" l="1"/>
  <c r="G570" i="3" s="1"/>
  <c r="C571" i="3" s="1"/>
  <c r="E571" i="3" s="1"/>
  <c r="F509" i="3"/>
  <c r="G509" i="3" s="1"/>
  <c r="C510" i="3" s="1"/>
  <c r="E510" i="3" s="1"/>
  <c r="G448" i="3"/>
  <c r="C449" i="3" s="1"/>
  <c r="E449" i="3" s="1"/>
  <c r="F449" i="3" s="1"/>
  <c r="F387" i="3"/>
  <c r="G387" i="3" s="1"/>
  <c r="C388" i="3" s="1"/>
  <c r="E388" i="3" s="1"/>
  <c r="F326" i="3"/>
  <c r="G326" i="3" s="1"/>
  <c r="C327" i="3" s="1"/>
  <c r="E327" i="3" s="1"/>
  <c r="C265" i="3"/>
  <c r="E265" i="3" s="1"/>
  <c r="F265" i="3" s="1"/>
  <c r="G265" i="3" s="1"/>
  <c r="G204" i="3"/>
  <c r="C205" i="3" s="1"/>
  <c r="E205" i="3" s="1"/>
  <c r="F205" i="3" s="1"/>
  <c r="C12" i="3"/>
  <c r="F143" i="3"/>
  <c r="G143" i="3" s="1"/>
  <c r="C144" i="3" s="1"/>
  <c r="E144" i="3" s="1"/>
  <c r="E73" i="3"/>
  <c r="F73" i="3" s="1"/>
  <c r="F571" i="3" l="1"/>
  <c r="G571" i="3" s="1"/>
  <c r="C572" i="3" s="1"/>
  <c r="E572" i="3" s="1"/>
  <c r="F510" i="3"/>
  <c r="G510" i="3" s="1"/>
  <c r="C511" i="3" s="1"/>
  <c r="E511" i="3" s="1"/>
  <c r="G449" i="3"/>
  <c r="C450" i="3" s="1"/>
  <c r="E450" i="3" s="1"/>
  <c r="F450" i="3" s="1"/>
  <c r="F388" i="3"/>
  <c r="G388" i="3" s="1"/>
  <c r="C389" i="3" s="1"/>
  <c r="E389" i="3" s="1"/>
  <c r="F327" i="3"/>
  <c r="G327" i="3" s="1"/>
  <c r="C328" i="3" s="1"/>
  <c r="E328" i="3" s="1"/>
  <c r="C266" i="3"/>
  <c r="E266" i="3" s="1"/>
  <c r="F266" i="3" s="1"/>
  <c r="G266" i="3" s="1"/>
  <c r="G205" i="3"/>
  <c r="C206" i="3" s="1"/>
  <c r="E206" i="3" s="1"/>
  <c r="F206" i="3" s="1"/>
  <c r="E12" i="3"/>
  <c r="F12" i="3" s="1"/>
  <c r="G12" i="3" s="1"/>
  <c r="C13" i="3" s="1"/>
  <c r="F144" i="3"/>
  <c r="G144" i="3" s="1"/>
  <c r="C145" i="3" s="1"/>
  <c r="E145" i="3" s="1"/>
  <c r="C74" i="3"/>
  <c r="G73" i="3"/>
  <c r="F572" i="3" l="1"/>
  <c r="G572" i="3" s="1"/>
  <c r="C573" i="3" s="1"/>
  <c r="E573" i="3" s="1"/>
  <c r="F511" i="3"/>
  <c r="G511" i="3" s="1"/>
  <c r="C512" i="3" s="1"/>
  <c r="E512" i="3" s="1"/>
  <c r="G450" i="3"/>
  <c r="C451" i="3" s="1"/>
  <c r="E451" i="3" s="1"/>
  <c r="F451" i="3" s="1"/>
  <c r="F389" i="3"/>
  <c r="G389" i="3" s="1"/>
  <c r="C390" i="3" s="1"/>
  <c r="E390" i="3" s="1"/>
  <c r="F328" i="3"/>
  <c r="G328" i="3" s="1"/>
  <c r="C329" i="3" s="1"/>
  <c r="E329" i="3" s="1"/>
  <c r="C267" i="3"/>
  <c r="E267" i="3" s="1"/>
  <c r="F267" i="3" s="1"/>
  <c r="G267" i="3" s="1"/>
  <c r="G206" i="3"/>
  <c r="C207" i="3" s="1"/>
  <c r="E207" i="3" s="1"/>
  <c r="F207" i="3" s="1"/>
  <c r="G13" i="3"/>
  <c r="E13" i="3"/>
  <c r="F13" i="3" s="1"/>
  <c r="F145" i="3"/>
  <c r="G145" i="3" s="1"/>
  <c r="C146" i="3" s="1"/>
  <c r="E146" i="3" s="1"/>
  <c r="E74" i="3"/>
  <c r="F74" i="3" s="1"/>
  <c r="G74" i="3" s="1"/>
  <c r="F573" i="3" l="1"/>
  <c r="G573" i="3" s="1"/>
  <c r="C574" i="3" s="1"/>
  <c r="E574" i="3" s="1"/>
  <c r="F512" i="3"/>
  <c r="G512" i="3" s="1"/>
  <c r="C513" i="3" s="1"/>
  <c r="E513" i="3" s="1"/>
  <c r="G451" i="3"/>
  <c r="C452" i="3" s="1"/>
  <c r="E452" i="3" s="1"/>
  <c r="F452" i="3" s="1"/>
  <c r="F390" i="3"/>
  <c r="G390" i="3" s="1"/>
  <c r="C391" i="3" s="1"/>
  <c r="E391" i="3" s="1"/>
  <c r="F329" i="3"/>
  <c r="G329" i="3" s="1"/>
  <c r="C330" i="3" s="1"/>
  <c r="E330" i="3" s="1"/>
  <c r="C268" i="3"/>
  <c r="E268" i="3" s="1"/>
  <c r="F268" i="3" s="1"/>
  <c r="G268" i="3" s="1"/>
  <c r="G207" i="3"/>
  <c r="C208" i="3" s="1"/>
  <c r="E208" i="3" s="1"/>
  <c r="F208" i="3" s="1"/>
  <c r="C14" i="3"/>
  <c r="F146" i="3"/>
  <c r="G146" i="3" s="1"/>
  <c r="C147" i="3" s="1"/>
  <c r="E147" i="3" s="1"/>
  <c r="C75" i="3"/>
  <c r="F574" i="3" l="1"/>
  <c r="G574" i="3" s="1"/>
  <c r="C575" i="3" s="1"/>
  <c r="E575" i="3" s="1"/>
  <c r="F513" i="3"/>
  <c r="G513" i="3" s="1"/>
  <c r="C514" i="3" s="1"/>
  <c r="E514" i="3" s="1"/>
  <c r="G452" i="3"/>
  <c r="C453" i="3" s="1"/>
  <c r="E453" i="3" s="1"/>
  <c r="F453" i="3" s="1"/>
  <c r="F391" i="3"/>
  <c r="G391" i="3" s="1"/>
  <c r="C392" i="3" s="1"/>
  <c r="E392" i="3" s="1"/>
  <c r="F330" i="3"/>
  <c r="G330" i="3" s="1"/>
  <c r="C331" i="3" s="1"/>
  <c r="E331" i="3" s="1"/>
  <c r="C269" i="3"/>
  <c r="E269" i="3" s="1"/>
  <c r="F269" i="3" s="1"/>
  <c r="G269" i="3" s="1"/>
  <c r="G208" i="3"/>
  <c r="C209" i="3" s="1"/>
  <c r="E209" i="3" s="1"/>
  <c r="F209" i="3" s="1"/>
  <c r="G14" i="3"/>
  <c r="E14" i="3"/>
  <c r="F14" i="3" s="1"/>
  <c r="F147" i="3"/>
  <c r="G147" i="3" s="1"/>
  <c r="C148" i="3" s="1"/>
  <c r="E148" i="3" s="1"/>
  <c r="E75" i="3"/>
  <c r="F75" i="3" s="1"/>
  <c r="G75" i="3" s="1"/>
  <c r="F575" i="3" l="1"/>
  <c r="G575" i="3" s="1"/>
  <c r="C576" i="3" s="1"/>
  <c r="E576" i="3" s="1"/>
  <c r="F514" i="3"/>
  <c r="G514" i="3" s="1"/>
  <c r="C515" i="3" s="1"/>
  <c r="E515" i="3" s="1"/>
  <c r="G453" i="3"/>
  <c r="C454" i="3" s="1"/>
  <c r="E454" i="3" s="1"/>
  <c r="F454" i="3" s="1"/>
  <c r="F392" i="3"/>
  <c r="G392" i="3" s="1"/>
  <c r="C393" i="3" s="1"/>
  <c r="E393" i="3" s="1"/>
  <c r="F331" i="3"/>
  <c r="G331" i="3" s="1"/>
  <c r="C332" i="3" s="1"/>
  <c r="E332" i="3" s="1"/>
  <c r="C270" i="3"/>
  <c r="E270" i="3" s="1"/>
  <c r="F270" i="3" s="1"/>
  <c r="G270" i="3" s="1"/>
  <c r="G209" i="3"/>
  <c r="C210" i="3" s="1"/>
  <c r="E210" i="3" s="1"/>
  <c r="F210" i="3" s="1"/>
  <c r="C15" i="3"/>
  <c r="E15" i="3"/>
  <c r="F15" i="3" s="1"/>
  <c r="F148" i="3"/>
  <c r="G148" i="3" s="1"/>
  <c r="C149" i="3" s="1"/>
  <c r="E149" i="3" s="1"/>
  <c r="C76" i="3"/>
  <c r="F576" i="3" l="1"/>
  <c r="G576" i="3" s="1"/>
  <c r="C577" i="3" s="1"/>
  <c r="E577" i="3" s="1"/>
  <c r="F515" i="3"/>
  <c r="G515" i="3" s="1"/>
  <c r="C516" i="3" s="1"/>
  <c r="E516" i="3" s="1"/>
  <c r="G454" i="3"/>
  <c r="C455" i="3" s="1"/>
  <c r="E455" i="3" s="1"/>
  <c r="F455" i="3" s="1"/>
  <c r="F393" i="3"/>
  <c r="G393" i="3" s="1"/>
  <c r="C394" i="3" s="1"/>
  <c r="E394" i="3" s="1"/>
  <c r="F332" i="3"/>
  <c r="G332" i="3" s="1"/>
  <c r="C333" i="3" s="1"/>
  <c r="E333" i="3" s="1"/>
  <c r="C271" i="3"/>
  <c r="E271" i="3" s="1"/>
  <c r="F271" i="3" s="1"/>
  <c r="G271" i="3" s="1"/>
  <c r="G210" i="3"/>
  <c r="C211" i="3" s="1"/>
  <c r="E211" i="3" s="1"/>
  <c r="F211" i="3" s="1"/>
  <c r="G15" i="3"/>
  <c r="C16" i="3"/>
  <c r="F149" i="3"/>
  <c r="G149" i="3" s="1"/>
  <c r="C150" i="3" s="1"/>
  <c r="E150" i="3" s="1"/>
  <c r="E76" i="3"/>
  <c r="F76" i="3" s="1"/>
  <c r="G76" i="3" s="1"/>
  <c r="F577" i="3" l="1"/>
  <c r="G577" i="3" s="1"/>
  <c r="C578" i="3" s="1"/>
  <c r="E578" i="3" s="1"/>
  <c r="F516" i="3"/>
  <c r="G516" i="3" s="1"/>
  <c r="C517" i="3" s="1"/>
  <c r="E517" i="3" s="1"/>
  <c r="G455" i="3"/>
  <c r="C456" i="3" s="1"/>
  <c r="E456" i="3" s="1"/>
  <c r="F456" i="3" s="1"/>
  <c r="F394" i="3"/>
  <c r="G394" i="3" s="1"/>
  <c r="C395" i="3" s="1"/>
  <c r="E395" i="3" s="1"/>
  <c r="F333" i="3"/>
  <c r="G333" i="3" s="1"/>
  <c r="C334" i="3" s="1"/>
  <c r="E334" i="3" s="1"/>
  <c r="C272" i="3"/>
  <c r="E272" i="3" s="1"/>
  <c r="F272" i="3" s="1"/>
  <c r="G272" i="3" s="1"/>
  <c r="G211" i="3"/>
  <c r="C212" i="3" s="1"/>
  <c r="E212" i="3" s="1"/>
  <c r="F212" i="3" s="1"/>
  <c r="E16" i="3"/>
  <c r="F16" i="3" s="1"/>
  <c r="G16" i="3" s="1"/>
  <c r="F150" i="3"/>
  <c r="G150" i="3" s="1"/>
  <c r="C151" i="3" s="1"/>
  <c r="E151" i="3" s="1"/>
  <c r="C77" i="3"/>
  <c r="F578" i="3" l="1"/>
  <c r="G578" i="3" s="1"/>
  <c r="C579" i="3" s="1"/>
  <c r="E579" i="3" s="1"/>
  <c r="F517" i="3"/>
  <c r="G517" i="3" s="1"/>
  <c r="C518" i="3" s="1"/>
  <c r="E518" i="3" s="1"/>
  <c r="G456" i="3"/>
  <c r="C457" i="3" s="1"/>
  <c r="E457" i="3" s="1"/>
  <c r="F457" i="3" s="1"/>
  <c r="F395" i="3"/>
  <c r="G395" i="3" s="1"/>
  <c r="C396" i="3" s="1"/>
  <c r="E396" i="3" s="1"/>
  <c r="F334" i="3"/>
  <c r="G334" i="3" s="1"/>
  <c r="C335" i="3" s="1"/>
  <c r="E335" i="3" s="1"/>
  <c r="C273" i="3"/>
  <c r="E273" i="3" s="1"/>
  <c r="F273" i="3" s="1"/>
  <c r="G273" i="3" s="1"/>
  <c r="G212" i="3"/>
  <c r="C213" i="3" s="1"/>
  <c r="E213" i="3" s="1"/>
  <c r="F213" i="3" s="1"/>
  <c r="C17" i="3"/>
  <c r="F151" i="3"/>
  <c r="G151" i="3" s="1"/>
  <c r="C152" i="3" s="1"/>
  <c r="E152" i="3" s="1"/>
  <c r="E77" i="3"/>
  <c r="F579" i="3" l="1"/>
  <c r="G579" i="3" s="1"/>
  <c r="C580" i="3" s="1"/>
  <c r="E580" i="3" s="1"/>
  <c r="F518" i="3"/>
  <c r="G518" i="3" s="1"/>
  <c r="C519" i="3" s="1"/>
  <c r="E519" i="3" s="1"/>
  <c r="G457" i="3"/>
  <c r="C458" i="3" s="1"/>
  <c r="E458" i="3" s="1"/>
  <c r="F458" i="3" s="1"/>
  <c r="F396" i="3"/>
  <c r="G396" i="3" s="1"/>
  <c r="C397" i="3" s="1"/>
  <c r="E397" i="3" s="1"/>
  <c r="F335" i="3"/>
  <c r="G335" i="3" s="1"/>
  <c r="C336" i="3" s="1"/>
  <c r="E336" i="3" s="1"/>
  <c r="C274" i="3"/>
  <c r="E274" i="3" s="1"/>
  <c r="F274" i="3" s="1"/>
  <c r="G274" i="3" s="1"/>
  <c r="G213" i="3"/>
  <c r="C214" i="3" s="1"/>
  <c r="E214" i="3" s="1"/>
  <c r="F214" i="3" s="1"/>
  <c r="E17" i="3"/>
  <c r="F17" i="3" s="1"/>
  <c r="F152" i="3"/>
  <c r="G152" i="3" s="1"/>
  <c r="C153" i="3" s="1"/>
  <c r="E153" i="3" s="1"/>
  <c r="F77" i="3"/>
  <c r="G77" i="3" s="1"/>
  <c r="C78" i="3" s="1"/>
  <c r="F580" i="3" l="1"/>
  <c r="G580" i="3" s="1"/>
  <c r="C581" i="3" s="1"/>
  <c r="E581" i="3" s="1"/>
  <c r="F519" i="3"/>
  <c r="G519" i="3" s="1"/>
  <c r="C520" i="3" s="1"/>
  <c r="E520" i="3" s="1"/>
  <c r="G458" i="3"/>
  <c r="C459" i="3" s="1"/>
  <c r="E459" i="3" s="1"/>
  <c r="F459" i="3" s="1"/>
  <c r="F397" i="3"/>
  <c r="G397" i="3" s="1"/>
  <c r="C398" i="3" s="1"/>
  <c r="E398" i="3" s="1"/>
  <c r="F336" i="3"/>
  <c r="G336" i="3" s="1"/>
  <c r="C337" i="3" s="1"/>
  <c r="E337" i="3" s="1"/>
  <c r="E275" i="3"/>
  <c r="F275" i="3" s="1"/>
  <c r="G275" i="3" s="1"/>
  <c r="C275" i="3"/>
  <c r="G214" i="3"/>
  <c r="C215" i="3" s="1"/>
  <c r="E215" i="3" s="1"/>
  <c r="F215" i="3" s="1"/>
  <c r="G17" i="3"/>
  <c r="C18" i="3" s="1"/>
  <c r="F153" i="3"/>
  <c r="G153" i="3" s="1"/>
  <c r="C154" i="3" s="1"/>
  <c r="E154" i="3" s="1"/>
  <c r="E78" i="3"/>
  <c r="F78" i="3" s="1"/>
  <c r="G78" i="3"/>
  <c r="F581" i="3" l="1"/>
  <c r="G581" i="3" s="1"/>
  <c r="C582" i="3" s="1"/>
  <c r="E582" i="3" s="1"/>
  <c r="F520" i="3"/>
  <c r="G520" i="3" s="1"/>
  <c r="C521" i="3" s="1"/>
  <c r="E521" i="3" s="1"/>
  <c r="G459" i="3"/>
  <c r="C460" i="3" s="1"/>
  <c r="E460" i="3" s="1"/>
  <c r="F460" i="3" s="1"/>
  <c r="F398" i="3"/>
  <c r="G398" i="3" s="1"/>
  <c r="C399" i="3" s="1"/>
  <c r="E399" i="3" s="1"/>
  <c r="F337" i="3"/>
  <c r="G337" i="3" s="1"/>
  <c r="C338" i="3" s="1"/>
  <c r="E338" i="3" s="1"/>
  <c r="C276" i="3"/>
  <c r="E276" i="3" s="1"/>
  <c r="F276" i="3" s="1"/>
  <c r="G276" i="3" s="1"/>
  <c r="G215" i="3"/>
  <c r="C216" i="3" s="1"/>
  <c r="E216" i="3" s="1"/>
  <c r="F216" i="3" s="1"/>
  <c r="E18" i="3"/>
  <c r="F18" i="3" s="1"/>
  <c r="G18" i="3" s="1"/>
  <c r="C19" i="3" s="1"/>
  <c r="F154" i="3"/>
  <c r="G154" i="3" s="1"/>
  <c r="C155" i="3" s="1"/>
  <c r="E155" i="3" s="1"/>
  <c r="C79" i="3"/>
  <c r="F582" i="3" l="1"/>
  <c r="G582" i="3" s="1"/>
  <c r="C583" i="3" s="1"/>
  <c r="E583" i="3" s="1"/>
  <c r="F521" i="3"/>
  <c r="G521" i="3" s="1"/>
  <c r="C522" i="3" s="1"/>
  <c r="E522" i="3" s="1"/>
  <c r="G460" i="3"/>
  <c r="C461" i="3" s="1"/>
  <c r="E461" i="3" s="1"/>
  <c r="F461" i="3" s="1"/>
  <c r="F399" i="3"/>
  <c r="G399" i="3" s="1"/>
  <c r="C400" i="3" s="1"/>
  <c r="E400" i="3" s="1"/>
  <c r="F338" i="3"/>
  <c r="G338" i="3" s="1"/>
  <c r="C339" i="3" s="1"/>
  <c r="E339" i="3" s="1"/>
  <c r="C277" i="3"/>
  <c r="E277" i="3" s="1"/>
  <c r="F277" i="3" s="1"/>
  <c r="G277" i="3" s="1"/>
  <c r="G216" i="3"/>
  <c r="C217" i="3" s="1"/>
  <c r="E217" i="3" s="1"/>
  <c r="F217" i="3" s="1"/>
  <c r="E19" i="3"/>
  <c r="F19" i="3" s="1"/>
  <c r="G19" i="3" s="1"/>
  <c r="F155" i="3"/>
  <c r="G155" i="3" s="1"/>
  <c r="C156" i="3" s="1"/>
  <c r="E156" i="3" s="1"/>
  <c r="E79" i="3"/>
  <c r="F79" i="3" s="1"/>
  <c r="F583" i="3" l="1"/>
  <c r="G583" i="3" s="1"/>
  <c r="C584" i="3" s="1"/>
  <c r="E584" i="3" s="1"/>
  <c r="F522" i="3"/>
  <c r="G522" i="3" s="1"/>
  <c r="C523" i="3" s="1"/>
  <c r="E523" i="3" s="1"/>
  <c r="G461" i="3"/>
  <c r="C462" i="3" s="1"/>
  <c r="E462" i="3" s="1"/>
  <c r="F462" i="3" s="1"/>
  <c r="F400" i="3"/>
  <c r="G400" i="3" s="1"/>
  <c r="C401" i="3" s="1"/>
  <c r="E401" i="3" s="1"/>
  <c r="F339" i="3"/>
  <c r="G339" i="3" s="1"/>
  <c r="C340" i="3" s="1"/>
  <c r="E340" i="3" s="1"/>
  <c r="C278" i="3"/>
  <c r="E278" i="3" s="1"/>
  <c r="F278" i="3" s="1"/>
  <c r="G278" i="3" s="1"/>
  <c r="G217" i="3"/>
  <c r="C218" i="3" s="1"/>
  <c r="E218" i="3" s="1"/>
  <c r="F218" i="3" s="1"/>
  <c r="C20" i="3"/>
  <c r="F156" i="3"/>
  <c r="G156" i="3" s="1"/>
  <c r="C157" i="3" s="1"/>
  <c r="E157" i="3" s="1"/>
  <c r="G79" i="3"/>
  <c r="C80" i="3" s="1"/>
  <c r="F584" i="3" l="1"/>
  <c r="G584" i="3" s="1"/>
  <c r="C585" i="3" s="1"/>
  <c r="E585" i="3" s="1"/>
  <c r="F523" i="3"/>
  <c r="G523" i="3" s="1"/>
  <c r="C524" i="3" s="1"/>
  <c r="E524" i="3" s="1"/>
  <c r="G462" i="3"/>
  <c r="C463" i="3" s="1"/>
  <c r="E463" i="3" s="1"/>
  <c r="F463" i="3" s="1"/>
  <c r="F401" i="3"/>
  <c r="G401" i="3" s="1"/>
  <c r="C402" i="3" s="1"/>
  <c r="E402" i="3" s="1"/>
  <c r="F340" i="3"/>
  <c r="G340" i="3" s="1"/>
  <c r="C341" i="3" s="1"/>
  <c r="E341" i="3" s="1"/>
  <c r="C279" i="3"/>
  <c r="E279" i="3" s="1"/>
  <c r="F279" i="3" s="1"/>
  <c r="G279" i="3" s="1"/>
  <c r="G218" i="3"/>
  <c r="C219" i="3" s="1"/>
  <c r="E219" i="3" s="1"/>
  <c r="F219" i="3" s="1"/>
  <c r="E20" i="3"/>
  <c r="F20" i="3" s="1"/>
  <c r="G20" i="3" s="1"/>
  <c r="F157" i="3"/>
  <c r="G157" i="3" s="1"/>
  <c r="C158" i="3" s="1"/>
  <c r="E158" i="3" s="1"/>
  <c r="E80" i="3"/>
  <c r="F80" i="3" s="1"/>
  <c r="F585" i="3" l="1"/>
  <c r="G585" i="3" s="1"/>
  <c r="C586" i="3" s="1"/>
  <c r="E586" i="3" s="1"/>
  <c r="F524" i="3"/>
  <c r="G524" i="3" s="1"/>
  <c r="C525" i="3" s="1"/>
  <c r="E525" i="3" s="1"/>
  <c r="G463" i="3"/>
  <c r="C464" i="3" s="1"/>
  <c r="E464" i="3" s="1"/>
  <c r="F464" i="3" s="1"/>
  <c r="F402" i="3"/>
  <c r="G402" i="3" s="1"/>
  <c r="C403" i="3" s="1"/>
  <c r="E403" i="3" s="1"/>
  <c r="F341" i="3"/>
  <c r="G341" i="3" s="1"/>
  <c r="C342" i="3" s="1"/>
  <c r="E342" i="3" s="1"/>
  <c r="C280" i="3"/>
  <c r="E280" i="3" s="1"/>
  <c r="F280" i="3" s="1"/>
  <c r="G280" i="3" s="1"/>
  <c r="G219" i="3"/>
  <c r="C220" i="3" s="1"/>
  <c r="E220" i="3" s="1"/>
  <c r="F220" i="3" s="1"/>
  <c r="C21" i="3"/>
  <c r="F158" i="3"/>
  <c r="G158" i="3" s="1"/>
  <c r="C159" i="3" s="1"/>
  <c r="E159" i="3" s="1"/>
  <c r="C81" i="3"/>
  <c r="G80" i="3"/>
  <c r="F586" i="3" l="1"/>
  <c r="G586" i="3" s="1"/>
  <c r="C587" i="3" s="1"/>
  <c r="E587" i="3" s="1"/>
  <c r="F525" i="3"/>
  <c r="G525" i="3" s="1"/>
  <c r="C526" i="3" s="1"/>
  <c r="E526" i="3" s="1"/>
  <c r="G464" i="3"/>
  <c r="C465" i="3" s="1"/>
  <c r="E465" i="3" s="1"/>
  <c r="F465" i="3" s="1"/>
  <c r="F403" i="3"/>
  <c r="G403" i="3" s="1"/>
  <c r="C404" i="3" s="1"/>
  <c r="E404" i="3" s="1"/>
  <c r="F342" i="3"/>
  <c r="G342" i="3" s="1"/>
  <c r="C343" i="3" s="1"/>
  <c r="E343" i="3" s="1"/>
  <c r="C281" i="3"/>
  <c r="E281" i="3" s="1"/>
  <c r="F281" i="3" s="1"/>
  <c r="G281" i="3" s="1"/>
  <c r="G220" i="3"/>
  <c r="C221" i="3" s="1"/>
  <c r="E221" i="3" s="1"/>
  <c r="F221" i="3" s="1"/>
  <c r="E21" i="3"/>
  <c r="F21" i="3" s="1"/>
  <c r="G21" i="3" s="1"/>
  <c r="F159" i="3"/>
  <c r="G159" i="3" s="1"/>
  <c r="C160" i="3" s="1"/>
  <c r="E160" i="3" s="1"/>
  <c r="E81" i="3"/>
  <c r="F587" i="3" l="1"/>
  <c r="G587" i="3"/>
  <c r="C588" i="3" s="1"/>
  <c r="E588" i="3" s="1"/>
  <c r="F526" i="3"/>
  <c r="G526" i="3" s="1"/>
  <c r="C527" i="3" s="1"/>
  <c r="E527" i="3" s="1"/>
  <c r="G465" i="3"/>
  <c r="C466" i="3" s="1"/>
  <c r="E466" i="3" s="1"/>
  <c r="F466" i="3" s="1"/>
  <c r="F404" i="3"/>
  <c r="G404" i="3" s="1"/>
  <c r="C405" i="3" s="1"/>
  <c r="E405" i="3" s="1"/>
  <c r="F343" i="3"/>
  <c r="G343" i="3" s="1"/>
  <c r="C344" i="3" s="1"/>
  <c r="E344" i="3" s="1"/>
  <c r="C282" i="3"/>
  <c r="E282" i="3" s="1"/>
  <c r="F282" i="3" s="1"/>
  <c r="G282" i="3" s="1"/>
  <c r="G221" i="3"/>
  <c r="C222" i="3" s="1"/>
  <c r="E222" i="3" s="1"/>
  <c r="F222" i="3" s="1"/>
  <c r="C22" i="3"/>
  <c r="F160" i="3"/>
  <c r="G160" i="3" s="1"/>
  <c r="C161" i="3" s="1"/>
  <c r="E161" i="3" s="1"/>
  <c r="F81" i="3"/>
  <c r="G81" i="3" s="1"/>
  <c r="C82" i="3" s="1"/>
  <c r="F588" i="3" l="1"/>
  <c r="G588" i="3" s="1"/>
  <c r="C589" i="3" s="1"/>
  <c r="E589" i="3" s="1"/>
  <c r="F527" i="3"/>
  <c r="G527" i="3" s="1"/>
  <c r="C528" i="3" s="1"/>
  <c r="E528" i="3" s="1"/>
  <c r="G466" i="3"/>
  <c r="C467" i="3" s="1"/>
  <c r="E467" i="3" s="1"/>
  <c r="F467" i="3" s="1"/>
  <c r="F405" i="3"/>
  <c r="G405" i="3" s="1"/>
  <c r="C406" i="3" s="1"/>
  <c r="E406" i="3" s="1"/>
  <c r="F344" i="3"/>
  <c r="G344" i="3" s="1"/>
  <c r="C345" i="3" s="1"/>
  <c r="E345" i="3" s="1"/>
  <c r="C283" i="3"/>
  <c r="E283" i="3" s="1"/>
  <c r="F283" i="3" s="1"/>
  <c r="G283" i="3" s="1"/>
  <c r="G222" i="3"/>
  <c r="C223" i="3" s="1"/>
  <c r="E223" i="3" s="1"/>
  <c r="F223" i="3" s="1"/>
  <c r="E22" i="3"/>
  <c r="F22" i="3" s="1"/>
  <c r="G22" i="3" s="1"/>
  <c r="F161" i="3"/>
  <c r="G161" i="3" s="1"/>
  <c r="C162" i="3" s="1"/>
  <c r="E162" i="3" s="1"/>
  <c r="E82" i="3"/>
  <c r="F589" i="3" l="1"/>
  <c r="G589" i="3" s="1"/>
  <c r="C590" i="3" s="1"/>
  <c r="E590" i="3" s="1"/>
  <c r="F528" i="3"/>
  <c r="G528" i="3" s="1"/>
  <c r="C529" i="3" s="1"/>
  <c r="E529" i="3" s="1"/>
  <c r="G467" i="3"/>
  <c r="C468" i="3" s="1"/>
  <c r="E468" i="3" s="1"/>
  <c r="F468" i="3" s="1"/>
  <c r="F406" i="3"/>
  <c r="G406" i="3" s="1"/>
  <c r="C407" i="3" s="1"/>
  <c r="E407" i="3" s="1"/>
  <c r="F345" i="3"/>
  <c r="G345" i="3" s="1"/>
  <c r="C346" i="3" s="1"/>
  <c r="E346" i="3" s="1"/>
  <c r="C284" i="3"/>
  <c r="E284" i="3" s="1"/>
  <c r="F284" i="3" s="1"/>
  <c r="G284" i="3" s="1"/>
  <c r="G223" i="3"/>
  <c r="C224" i="3" s="1"/>
  <c r="E224" i="3" s="1"/>
  <c r="F224" i="3" s="1"/>
  <c r="C23" i="3"/>
  <c r="F162" i="3"/>
  <c r="G162" i="3" s="1"/>
  <c r="C163" i="3" s="1"/>
  <c r="E163" i="3" s="1"/>
  <c r="F82" i="3"/>
  <c r="G82" i="3" s="1"/>
  <c r="C83" i="3" s="1"/>
  <c r="F590" i="3" l="1"/>
  <c r="G590" i="3" s="1"/>
  <c r="C591" i="3" s="1"/>
  <c r="E591" i="3" s="1"/>
  <c r="F529" i="3"/>
  <c r="G529" i="3" s="1"/>
  <c r="C530" i="3" s="1"/>
  <c r="E530" i="3" s="1"/>
  <c r="G468" i="3"/>
  <c r="C469" i="3" s="1"/>
  <c r="E469" i="3" s="1"/>
  <c r="F469" i="3" s="1"/>
  <c r="F407" i="3"/>
  <c r="G407" i="3" s="1"/>
  <c r="C408" i="3" s="1"/>
  <c r="E408" i="3" s="1"/>
  <c r="F346" i="3"/>
  <c r="G346" i="3" s="1"/>
  <c r="C347" i="3" s="1"/>
  <c r="E347" i="3" s="1"/>
  <c r="C285" i="3"/>
  <c r="E285" i="3" s="1"/>
  <c r="F285" i="3" s="1"/>
  <c r="G285" i="3" s="1"/>
  <c r="G224" i="3"/>
  <c r="C225" i="3" s="1"/>
  <c r="E225" i="3" s="1"/>
  <c r="F225" i="3" s="1"/>
  <c r="E23" i="3"/>
  <c r="F23" i="3" s="1"/>
  <c r="G23" i="3" s="1"/>
  <c r="F163" i="3"/>
  <c r="G163" i="3" s="1"/>
  <c r="C164" i="3" s="1"/>
  <c r="E164" i="3" s="1"/>
  <c r="E83" i="3"/>
  <c r="F591" i="3" l="1"/>
  <c r="G591" i="3"/>
  <c r="C592" i="3" s="1"/>
  <c r="E592" i="3" s="1"/>
  <c r="F530" i="3"/>
  <c r="G530" i="3" s="1"/>
  <c r="C531" i="3" s="1"/>
  <c r="E531" i="3" s="1"/>
  <c r="G469" i="3"/>
  <c r="C470" i="3" s="1"/>
  <c r="E470" i="3" s="1"/>
  <c r="F470" i="3" s="1"/>
  <c r="F408" i="3"/>
  <c r="G408" i="3" s="1"/>
  <c r="C409" i="3" s="1"/>
  <c r="E409" i="3" s="1"/>
  <c r="F347" i="3"/>
  <c r="G347" i="3" s="1"/>
  <c r="C348" i="3" s="1"/>
  <c r="E348" i="3" s="1"/>
  <c r="C286" i="3"/>
  <c r="E286" i="3" s="1"/>
  <c r="F286" i="3" s="1"/>
  <c r="G286" i="3" s="1"/>
  <c r="G225" i="3"/>
  <c r="C226" i="3" s="1"/>
  <c r="E226" i="3" s="1"/>
  <c r="F226" i="3" s="1"/>
  <c r="C24" i="3"/>
  <c r="F164" i="3"/>
  <c r="G164" i="3" s="1"/>
  <c r="C165" i="3" s="1"/>
  <c r="E165" i="3" s="1"/>
  <c r="F83" i="3"/>
  <c r="G83" i="3" s="1"/>
  <c r="C84" i="3" s="1"/>
  <c r="F592" i="3" l="1"/>
  <c r="G592" i="3" s="1"/>
  <c r="C593" i="3" s="1"/>
  <c r="E593" i="3" s="1"/>
  <c r="F531" i="3"/>
  <c r="G531" i="3" s="1"/>
  <c r="C532" i="3" s="1"/>
  <c r="E532" i="3" s="1"/>
  <c r="G470" i="3"/>
  <c r="C471" i="3" s="1"/>
  <c r="E471" i="3" s="1"/>
  <c r="F471" i="3" s="1"/>
  <c r="F409" i="3"/>
  <c r="G409" i="3" s="1"/>
  <c r="C410" i="3" s="1"/>
  <c r="E410" i="3" s="1"/>
  <c r="F348" i="3"/>
  <c r="G348" i="3" s="1"/>
  <c r="C349" i="3" s="1"/>
  <c r="E349" i="3" s="1"/>
  <c r="C287" i="3"/>
  <c r="E287" i="3" s="1"/>
  <c r="F287" i="3" s="1"/>
  <c r="G287" i="3" s="1"/>
  <c r="G226" i="3"/>
  <c r="C227" i="3" s="1"/>
  <c r="E227" i="3" s="1"/>
  <c r="F227" i="3" s="1"/>
  <c r="E24" i="3"/>
  <c r="F24" i="3" s="1"/>
  <c r="G24" i="3" s="1"/>
  <c r="F165" i="3"/>
  <c r="G165" i="3" s="1"/>
  <c r="C166" i="3" s="1"/>
  <c r="E166" i="3" s="1"/>
  <c r="E84" i="3"/>
  <c r="F593" i="3" l="1"/>
  <c r="G593" i="3" s="1"/>
  <c r="C594" i="3" s="1"/>
  <c r="E594" i="3" s="1"/>
  <c r="F532" i="3"/>
  <c r="G532" i="3" s="1"/>
  <c r="C533" i="3" s="1"/>
  <c r="E533" i="3" s="1"/>
  <c r="G471" i="3"/>
  <c r="C472" i="3" s="1"/>
  <c r="E472" i="3" s="1"/>
  <c r="F472" i="3" s="1"/>
  <c r="F410" i="3"/>
  <c r="G410" i="3" s="1"/>
  <c r="C411" i="3" s="1"/>
  <c r="E411" i="3" s="1"/>
  <c r="F349" i="3"/>
  <c r="G349" i="3" s="1"/>
  <c r="C350" i="3" s="1"/>
  <c r="E350" i="3" s="1"/>
  <c r="C288" i="3"/>
  <c r="E288" i="3" s="1"/>
  <c r="F288" i="3" s="1"/>
  <c r="G288" i="3" s="1"/>
  <c r="G227" i="3"/>
  <c r="C228" i="3" s="1"/>
  <c r="E228" i="3" s="1"/>
  <c r="F228" i="3" s="1"/>
  <c r="C25" i="3"/>
  <c r="F166" i="3"/>
  <c r="G166" i="3" s="1"/>
  <c r="C167" i="3" s="1"/>
  <c r="E167" i="3" s="1"/>
  <c r="F84" i="3"/>
  <c r="G84" i="3" s="1"/>
  <c r="C85" i="3" s="1"/>
  <c r="F594" i="3" l="1"/>
  <c r="G594" i="3" s="1"/>
  <c r="C595" i="3" s="1"/>
  <c r="E595" i="3" s="1"/>
  <c r="F533" i="3"/>
  <c r="G533" i="3" s="1"/>
  <c r="C534" i="3" s="1"/>
  <c r="E534" i="3" s="1"/>
  <c r="G472" i="3"/>
  <c r="C473" i="3" s="1"/>
  <c r="E473" i="3" s="1"/>
  <c r="F473" i="3" s="1"/>
  <c r="F411" i="3"/>
  <c r="G411" i="3" s="1"/>
  <c r="C412" i="3" s="1"/>
  <c r="E412" i="3" s="1"/>
  <c r="F350" i="3"/>
  <c r="G350" i="3" s="1"/>
  <c r="C351" i="3" s="1"/>
  <c r="E351" i="3" s="1"/>
  <c r="C289" i="3"/>
  <c r="E289" i="3" s="1"/>
  <c r="F289" i="3" s="1"/>
  <c r="G289" i="3" s="1"/>
  <c r="G228" i="3"/>
  <c r="C229" i="3" s="1"/>
  <c r="E229" i="3" s="1"/>
  <c r="F229" i="3" s="1"/>
  <c r="E25" i="3"/>
  <c r="F25" i="3" s="1"/>
  <c r="G25" i="3" s="1"/>
  <c r="F167" i="3"/>
  <c r="G167" i="3" s="1"/>
  <c r="C168" i="3" s="1"/>
  <c r="E168" i="3" s="1"/>
  <c r="E85" i="3"/>
  <c r="F85" i="3" s="1"/>
  <c r="G85" i="3" s="1"/>
  <c r="F595" i="3" l="1"/>
  <c r="G595" i="3" s="1"/>
  <c r="C596" i="3" s="1"/>
  <c r="E596" i="3" s="1"/>
  <c r="F534" i="3"/>
  <c r="G534" i="3" s="1"/>
  <c r="C535" i="3" s="1"/>
  <c r="E535" i="3" s="1"/>
  <c r="G473" i="3"/>
  <c r="C474" i="3" s="1"/>
  <c r="E474" i="3" s="1"/>
  <c r="F474" i="3" s="1"/>
  <c r="F412" i="3"/>
  <c r="G412" i="3" s="1"/>
  <c r="C413" i="3" s="1"/>
  <c r="E413" i="3" s="1"/>
  <c r="F351" i="3"/>
  <c r="G351" i="3" s="1"/>
  <c r="C352" i="3" s="1"/>
  <c r="E352" i="3" s="1"/>
  <c r="C290" i="3"/>
  <c r="E290" i="3" s="1"/>
  <c r="F290" i="3" s="1"/>
  <c r="G290" i="3" s="1"/>
  <c r="G229" i="3"/>
  <c r="C230" i="3" s="1"/>
  <c r="E230" i="3" s="1"/>
  <c r="F230" i="3" s="1"/>
  <c r="C26" i="3"/>
  <c r="F168" i="3"/>
  <c r="G168" i="3" s="1"/>
  <c r="C169" i="3" s="1"/>
  <c r="E169" i="3" s="1"/>
  <c r="C86" i="3"/>
  <c r="F596" i="3" l="1"/>
  <c r="G596" i="3" s="1"/>
  <c r="C597" i="3" s="1"/>
  <c r="E597" i="3" s="1"/>
  <c r="F535" i="3"/>
  <c r="G535" i="3" s="1"/>
  <c r="C536" i="3" s="1"/>
  <c r="E536" i="3" s="1"/>
  <c r="G474" i="3"/>
  <c r="C475" i="3" s="1"/>
  <c r="E475" i="3" s="1"/>
  <c r="F475" i="3" s="1"/>
  <c r="F413" i="3"/>
  <c r="G413" i="3" s="1"/>
  <c r="C414" i="3" s="1"/>
  <c r="E414" i="3" s="1"/>
  <c r="F352" i="3"/>
  <c r="G352" i="3" s="1"/>
  <c r="C353" i="3" s="1"/>
  <c r="E353" i="3" s="1"/>
  <c r="E291" i="3"/>
  <c r="F291" i="3" s="1"/>
  <c r="G291" i="3" s="1"/>
  <c r="C291" i="3"/>
  <c r="G230" i="3"/>
  <c r="C231" i="3" s="1"/>
  <c r="E231" i="3" s="1"/>
  <c r="F231" i="3" s="1"/>
  <c r="E26" i="3"/>
  <c r="F26" i="3" s="1"/>
  <c r="G26" i="3" s="1"/>
  <c r="F169" i="3"/>
  <c r="G169" i="3" s="1"/>
  <c r="C170" i="3" s="1"/>
  <c r="E170" i="3" s="1"/>
  <c r="E86" i="3"/>
  <c r="F597" i="3" l="1"/>
  <c r="G597" i="3" s="1"/>
  <c r="C598" i="3" s="1"/>
  <c r="E598" i="3" s="1"/>
  <c r="F536" i="3"/>
  <c r="G536" i="3" s="1"/>
  <c r="C537" i="3" s="1"/>
  <c r="E537" i="3" s="1"/>
  <c r="G475" i="3"/>
  <c r="C476" i="3" s="1"/>
  <c r="E476" i="3" s="1"/>
  <c r="F476" i="3" s="1"/>
  <c r="F414" i="3"/>
  <c r="G414" i="3" s="1"/>
  <c r="C415" i="3" s="1"/>
  <c r="E415" i="3" s="1"/>
  <c r="F353" i="3"/>
  <c r="G353" i="3" s="1"/>
  <c r="C354" i="3" s="1"/>
  <c r="E354" i="3" s="1"/>
  <c r="E292" i="3"/>
  <c r="F292" i="3" s="1"/>
  <c r="G292" i="3" s="1"/>
  <c r="C292" i="3"/>
  <c r="G231" i="3"/>
  <c r="C232" i="3" s="1"/>
  <c r="E232" i="3" s="1"/>
  <c r="F232" i="3" s="1"/>
  <c r="C27" i="3"/>
  <c r="F170" i="3"/>
  <c r="G170" i="3" s="1"/>
  <c r="C171" i="3" s="1"/>
  <c r="E171" i="3" s="1"/>
  <c r="F86" i="3"/>
  <c r="G86" i="3" s="1"/>
  <c r="C87" i="3" s="1"/>
  <c r="F598" i="3" l="1"/>
  <c r="G598" i="3" s="1"/>
  <c r="C599" i="3" s="1"/>
  <c r="E599" i="3" s="1"/>
  <c r="F537" i="3"/>
  <c r="G537" i="3" s="1"/>
  <c r="C538" i="3" s="1"/>
  <c r="E538" i="3" s="1"/>
  <c r="G476" i="3"/>
  <c r="C477" i="3" s="1"/>
  <c r="E477" i="3" s="1"/>
  <c r="F477" i="3" s="1"/>
  <c r="F415" i="3"/>
  <c r="G415" i="3" s="1"/>
  <c r="C416" i="3" s="1"/>
  <c r="E416" i="3" s="1"/>
  <c r="F354" i="3"/>
  <c r="G354" i="3" s="1"/>
  <c r="C355" i="3" s="1"/>
  <c r="E355" i="3" s="1"/>
  <c r="E293" i="3"/>
  <c r="F293" i="3" s="1"/>
  <c r="G293" i="3" s="1"/>
  <c r="C293" i="3"/>
  <c r="G232" i="3"/>
  <c r="C233" i="3" s="1"/>
  <c r="E233" i="3" s="1"/>
  <c r="F233" i="3" s="1"/>
  <c r="E27" i="3"/>
  <c r="F27" i="3" s="1"/>
  <c r="G27" i="3" s="1"/>
  <c r="F171" i="3"/>
  <c r="G171" i="3" s="1"/>
  <c r="C172" i="3" s="1"/>
  <c r="E172" i="3" s="1"/>
  <c r="E87" i="3"/>
  <c r="F599" i="3" l="1"/>
  <c r="G599" i="3" s="1"/>
  <c r="C600" i="3" s="1"/>
  <c r="E600" i="3" s="1"/>
  <c r="F538" i="3"/>
  <c r="G538" i="3" s="1"/>
  <c r="C539" i="3" s="1"/>
  <c r="E539" i="3" s="1"/>
  <c r="G477" i="3"/>
  <c r="C478" i="3" s="1"/>
  <c r="E478" i="3" s="1"/>
  <c r="F478" i="3" s="1"/>
  <c r="F416" i="3"/>
  <c r="G416" i="3" s="1"/>
  <c r="C417" i="3" s="1"/>
  <c r="E417" i="3" s="1"/>
  <c r="F355" i="3"/>
  <c r="G355" i="3" s="1"/>
  <c r="C356" i="3" s="1"/>
  <c r="E356" i="3" s="1"/>
  <c r="C294" i="3"/>
  <c r="E294" i="3" s="1"/>
  <c r="F294" i="3" s="1"/>
  <c r="G294" i="3" s="1"/>
  <c r="G233" i="3"/>
  <c r="C234" i="3" s="1"/>
  <c r="E234" i="3" s="1"/>
  <c r="F234" i="3" s="1"/>
  <c r="C28" i="3"/>
  <c r="F172" i="3"/>
  <c r="G172" i="3" s="1"/>
  <c r="C173" i="3" s="1"/>
  <c r="E173" i="3" s="1"/>
  <c r="F87" i="3"/>
  <c r="G87" i="3" s="1"/>
  <c r="C88" i="3" s="1"/>
  <c r="F600" i="3" l="1"/>
  <c r="G600" i="3" s="1"/>
  <c r="C601" i="3" s="1"/>
  <c r="E601" i="3" s="1"/>
  <c r="F539" i="3"/>
  <c r="G539" i="3" s="1"/>
  <c r="C540" i="3" s="1"/>
  <c r="E540" i="3" s="1"/>
  <c r="G478" i="3"/>
  <c r="C479" i="3" s="1"/>
  <c r="E479" i="3" s="1"/>
  <c r="F479" i="3" s="1"/>
  <c r="F417" i="3"/>
  <c r="G417" i="3" s="1"/>
  <c r="C418" i="3" s="1"/>
  <c r="E418" i="3" s="1"/>
  <c r="F356" i="3"/>
  <c r="G356" i="3" s="1"/>
  <c r="C357" i="3" s="1"/>
  <c r="E357" i="3" s="1"/>
  <c r="C295" i="3"/>
  <c r="E295" i="3" s="1"/>
  <c r="F295" i="3" s="1"/>
  <c r="G295" i="3" s="1"/>
  <c r="G234" i="3"/>
  <c r="C235" i="3" s="1"/>
  <c r="E235" i="3" s="1"/>
  <c r="F235" i="3" s="1"/>
  <c r="E28" i="3"/>
  <c r="F28" i="3" s="1"/>
  <c r="G28" i="3" s="1"/>
  <c r="F173" i="3"/>
  <c r="G173" i="3" s="1"/>
  <c r="C174" i="3" s="1"/>
  <c r="E174" i="3" s="1"/>
  <c r="E88" i="3"/>
  <c r="F88" i="3" s="1"/>
  <c r="G88" i="3"/>
  <c r="F601" i="3" l="1"/>
  <c r="G601" i="3" s="1"/>
  <c r="C602" i="3" s="1"/>
  <c r="E602" i="3" s="1"/>
  <c r="F540" i="3"/>
  <c r="G540" i="3" s="1"/>
  <c r="C541" i="3" s="1"/>
  <c r="E541" i="3" s="1"/>
  <c r="G479" i="3"/>
  <c r="C480" i="3" s="1"/>
  <c r="E480" i="3" s="1"/>
  <c r="F480" i="3" s="1"/>
  <c r="F418" i="3"/>
  <c r="G418" i="3" s="1"/>
  <c r="C419" i="3" s="1"/>
  <c r="E419" i="3" s="1"/>
  <c r="F357" i="3"/>
  <c r="G357" i="3" s="1"/>
  <c r="C358" i="3" s="1"/>
  <c r="E358" i="3" s="1"/>
  <c r="C296" i="3"/>
  <c r="E296" i="3" s="1"/>
  <c r="F296" i="3" s="1"/>
  <c r="G296" i="3" s="1"/>
  <c r="G235" i="3"/>
  <c r="C236" i="3" s="1"/>
  <c r="E236" i="3" s="1"/>
  <c r="F236" i="3" s="1"/>
  <c r="C29" i="3"/>
  <c r="F174" i="3"/>
  <c r="G174" i="3" s="1"/>
  <c r="C175" i="3" s="1"/>
  <c r="E175" i="3" s="1"/>
  <c r="C89" i="3"/>
  <c r="F602" i="3" l="1"/>
  <c r="G602" i="3" s="1"/>
  <c r="C603" i="3" s="1"/>
  <c r="E603" i="3" s="1"/>
  <c r="F541" i="3"/>
  <c r="G541" i="3" s="1"/>
  <c r="C542" i="3" s="1"/>
  <c r="E542" i="3" s="1"/>
  <c r="G480" i="3"/>
  <c r="C481" i="3" s="1"/>
  <c r="E481" i="3" s="1"/>
  <c r="F481" i="3" s="1"/>
  <c r="F419" i="3"/>
  <c r="G419" i="3" s="1"/>
  <c r="C420" i="3" s="1"/>
  <c r="E420" i="3" s="1"/>
  <c r="F358" i="3"/>
  <c r="G358" i="3" s="1"/>
  <c r="C359" i="3" s="1"/>
  <c r="E359" i="3" s="1"/>
  <c r="C297" i="3"/>
  <c r="E297" i="3" s="1"/>
  <c r="F297" i="3" s="1"/>
  <c r="G297" i="3" s="1"/>
  <c r="G236" i="3"/>
  <c r="C237" i="3" s="1"/>
  <c r="E237" i="3" s="1"/>
  <c r="F237" i="3" s="1"/>
  <c r="E29" i="3"/>
  <c r="F29" i="3" s="1"/>
  <c r="G29" i="3" s="1"/>
  <c r="F175" i="3"/>
  <c r="G175" i="3" s="1"/>
  <c r="C176" i="3" s="1"/>
  <c r="E176" i="3" s="1"/>
  <c r="E89" i="3"/>
  <c r="F603" i="3" l="1"/>
  <c r="G603" i="3" s="1"/>
  <c r="C604" i="3" s="1"/>
  <c r="E604" i="3" s="1"/>
  <c r="F542" i="3"/>
  <c r="G542" i="3" s="1"/>
  <c r="C543" i="3" s="1"/>
  <c r="E543" i="3" s="1"/>
  <c r="G481" i="3"/>
  <c r="C482" i="3" s="1"/>
  <c r="E482" i="3" s="1"/>
  <c r="F482" i="3" s="1"/>
  <c r="F420" i="3"/>
  <c r="G420" i="3" s="1"/>
  <c r="C421" i="3" s="1"/>
  <c r="E421" i="3" s="1"/>
  <c r="F359" i="3"/>
  <c r="G359" i="3" s="1"/>
  <c r="C360" i="3" s="1"/>
  <c r="E360" i="3" s="1"/>
  <c r="C298" i="3"/>
  <c r="E298" i="3" s="1"/>
  <c r="F298" i="3" s="1"/>
  <c r="G298" i="3" s="1"/>
  <c r="G237" i="3"/>
  <c r="C238" i="3" s="1"/>
  <c r="E238" i="3" s="1"/>
  <c r="F238" i="3" s="1"/>
  <c r="C30" i="3"/>
  <c r="F176" i="3"/>
  <c r="G176" i="3" s="1"/>
  <c r="C177" i="3" s="1"/>
  <c r="E177" i="3" s="1"/>
  <c r="F89" i="3"/>
  <c r="G89" i="3" s="1"/>
  <c r="C90" i="3" s="1"/>
  <c r="F604" i="3" l="1"/>
  <c r="G604" i="3" s="1"/>
  <c r="C605" i="3" s="1"/>
  <c r="E605" i="3" s="1"/>
  <c r="F543" i="3"/>
  <c r="G543" i="3" s="1"/>
  <c r="C544" i="3" s="1"/>
  <c r="E544" i="3" s="1"/>
  <c r="G482" i="3"/>
  <c r="C483" i="3" s="1"/>
  <c r="E483" i="3" s="1"/>
  <c r="F483" i="3" s="1"/>
  <c r="F421" i="3"/>
  <c r="G421" i="3" s="1"/>
  <c r="C422" i="3" s="1"/>
  <c r="E422" i="3" s="1"/>
  <c r="F360" i="3"/>
  <c r="G360" i="3" s="1"/>
  <c r="C361" i="3" s="1"/>
  <c r="E361" i="3" s="1"/>
  <c r="C299" i="3"/>
  <c r="E299" i="3" s="1"/>
  <c r="F299" i="3" s="1"/>
  <c r="G299" i="3" s="1"/>
  <c r="G238" i="3"/>
  <c r="C239" i="3" s="1"/>
  <c r="E239" i="3" s="1"/>
  <c r="F239" i="3" s="1"/>
  <c r="E30" i="3"/>
  <c r="F30" i="3" s="1"/>
  <c r="G30" i="3" s="1"/>
  <c r="F177" i="3"/>
  <c r="G177" i="3" s="1"/>
  <c r="C178" i="3" s="1"/>
  <c r="E178" i="3" s="1"/>
  <c r="E90" i="3"/>
  <c r="F90" i="3" s="1"/>
  <c r="F605" i="3" l="1"/>
  <c r="G605" i="3" s="1"/>
  <c r="C606" i="3" s="1"/>
  <c r="E606" i="3" s="1"/>
  <c r="F544" i="3"/>
  <c r="G544" i="3" s="1"/>
  <c r="C545" i="3" s="1"/>
  <c r="E545" i="3" s="1"/>
  <c r="G483" i="3"/>
  <c r="C484" i="3" s="1"/>
  <c r="E484" i="3" s="1"/>
  <c r="F484" i="3" s="1"/>
  <c r="F422" i="3"/>
  <c r="G422" i="3" s="1"/>
  <c r="C423" i="3" s="1"/>
  <c r="E423" i="3" s="1"/>
  <c r="F361" i="3"/>
  <c r="G361" i="3"/>
  <c r="C362" i="3" s="1"/>
  <c r="E362" i="3" s="1"/>
  <c r="E300" i="3"/>
  <c r="F300" i="3" s="1"/>
  <c r="G300" i="3" s="1"/>
  <c r="C300" i="3"/>
  <c r="G239" i="3"/>
  <c r="C240" i="3" s="1"/>
  <c r="E240" i="3" s="1"/>
  <c r="F240" i="3" s="1"/>
  <c r="C31" i="3"/>
  <c r="F178" i="3"/>
  <c r="G178" i="3" s="1"/>
  <c r="C179" i="3" s="1"/>
  <c r="E179" i="3" s="1"/>
  <c r="G90" i="3"/>
  <c r="C91" i="3" s="1"/>
  <c r="F606" i="3" l="1"/>
  <c r="G606" i="3" s="1"/>
  <c r="C607" i="3" s="1"/>
  <c r="E607" i="3" s="1"/>
  <c r="F545" i="3"/>
  <c r="G545" i="3" s="1"/>
  <c r="C546" i="3" s="1"/>
  <c r="E546" i="3" s="1"/>
  <c r="G484" i="3"/>
  <c r="C485" i="3" s="1"/>
  <c r="E485" i="3" s="1"/>
  <c r="F485" i="3" s="1"/>
  <c r="F423" i="3"/>
  <c r="G423" i="3" s="1"/>
  <c r="C424" i="3" s="1"/>
  <c r="E424" i="3" s="1"/>
  <c r="F362" i="3"/>
  <c r="G362" i="3" s="1"/>
  <c r="C363" i="3" s="1"/>
  <c r="E363" i="3" s="1"/>
  <c r="E301" i="3"/>
  <c r="F301" i="3" s="1"/>
  <c r="G301" i="3" s="1"/>
  <c r="C301" i="3"/>
  <c r="G240" i="3"/>
  <c r="C241" i="3" s="1"/>
  <c r="E241" i="3" s="1"/>
  <c r="F241" i="3" s="1"/>
  <c r="E31" i="3"/>
  <c r="F31" i="3" s="1"/>
  <c r="G31" i="3" s="1"/>
  <c r="F179" i="3"/>
  <c r="G179" i="3" s="1"/>
  <c r="C180" i="3" s="1"/>
  <c r="E180" i="3" s="1"/>
  <c r="E91" i="3"/>
  <c r="F607" i="3" l="1"/>
  <c r="G607" i="3" s="1"/>
  <c r="C608" i="3" s="1"/>
  <c r="E608" i="3" s="1"/>
  <c r="F546" i="3"/>
  <c r="G546" i="3" s="1"/>
  <c r="C547" i="3" s="1"/>
  <c r="E547" i="3" s="1"/>
  <c r="G485" i="3"/>
  <c r="C486" i="3" s="1"/>
  <c r="E486" i="3" s="1"/>
  <c r="F486" i="3" s="1"/>
  <c r="F424" i="3"/>
  <c r="G424" i="3" s="1"/>
  <c r="C425" i="3" s="1"/>
  <c r="E425" i="3" s="1"/>
  <c r="F363" i="3"/>
  <c r="G363" i="3" s="1"/>
  <c r="C364" i="3" s="1"/>
  <c r="E364" i="3" s="1"/>
  <c r="E302" i="3"/>
  <c r="F302" i="3" s="1"/>
  <c r="G302" i="3" s="1"/>
  <c r="C302" i="3"/>
  <c r="G241" i="3"/>
  <c r="C242" i="3" s="1"/>
  <c r="E242" i="3" s="1"/>
  <c r="F242" i="3" s="1"/>
  <c r="C32" i="3"/>
  <c r="F180" i="3"/>
  <c r="G180" i="3" s="1"/>
  <c r="C181" i="3" s="1"/>
  <c r="E181" i="3" s="1"/>
  <c r="F91" i="3"/>
  <c r="G91" i="3" s="1"/>
  <c r="C92" i="3" s="1"/>
  <c r="F608" i="3" l="1"/>
  <c r="G608" i="3" s="1"/>
  <c r="C609" i="3" s="1"/>
  <c r="E609" i="3" s="1"/>
  <c r="F547" i="3"/>
  <c r="G547" i="3" s="1"/>
  <c r="C548" i="3" s="1"/>
  <c r="E548" i="3" s="1"/>
  <c r="G486" i="3"/>
  <c r="C487" i="3" s="1"/>
  <c r="E487" i="3" s="1"/>
  <c r="F487" i="3" s="1"/>
  <c r="F425" i="3"/>
  <c r="G425" i="3" s="1"/>
  <c r="C426" i="3" s="1"/>
  <c r="E426" i="3" s="1"/>
  <c r="F364" i="3"/>
  <c r="G364" i="3" s="1"/>
  <c r="C365" i="3" s="1"/>
  <c r="E365" i="3" s="1"/>
  <c r="C303" i="3"/>
  <c r="E303" i="3" s="1"/>
  <c r="F303" i="3" s="1"/>
  <c r="G303" i="3" s="1"/>
  <c r="G242" i="3"/>
  <c r="C243" i="3" s="1"/>
  <c r="E243" i="3" s="1"/>
  <c r="F243" i="3" s="1"/>
  <c r="E32" i="3"/>
  <c r="F32" i="3" s="1"/>
  <c r="G32" i="3" s="1"/>
  <c r="F181" i="3"/>
  <c r="G181" i="3" s="1"/>
  <c r="C182" i="3" s="1"/>
  <c r="E182" i="3" s="1"/>
  <c r="E92" i="3"/>
  <c r="F92" i="3" s="1"/>
  <c r="G92" i="3" s="1"/>
  <c r="F609" i="3" l="1"/>
  <c r="G609" i="3" s="1"/>
  <c r="C610" i="3" s="1"/>
  <c r="E610" i="3" s="1"/>
  <c r="F548" i="3"/>
  <c r="G548" i="3" s="1"/>
  <c r="C549" i="3" s="1"/>
  <c r="E549" i="3" s="1"/>
  <c r="G487" i="3"/>
  <c r="C488" i="3" s="1"/>
  <c r="E488" i="3" s="1"/>
  <c r="F488" i="3" s="1"/>
  <c r="F426" i="3"/>
  <c r="G426" i="3" s="1"/>
  <c r="C427" i="3" s="1"/>
  <c r="E427" i="3" s="1"/>
  <c r="F365" i="3"/>
  <c r="G365" i="3" s="1"/>
  <c r="C366" i="3" s="1"/>
  <c r="E366" i="3" s="1"/>
  <c r="E304" i="3"/>
  <c r="F304" i="3" s="1"/>
  <c r="G304" i="3" s="1"/>
  <c r="C304" i="3"/>
  <c r="G243" i="3"/>
  <c r="C244" i="3" s="1"/>
  <c r="E244" i="3" s="1"/>
  <c r="F244" i="3" s="1"/>
  <c r="C33" i="3"/>
  <c r="G182" i="3"/>
  <c r="C183" i="3" s="1"/>
  <c r="E183" i="3" s="1"/>
  <c r="C93" i="3"/>
  <c r="F610" i="3" l="1"/>
  <c r="G610" i="3" s="1"/>
  <c r="F549" i="3"/>
  <c r="G549" i="3" s="1"/>
  <c r="G488" i="3"/>
  <c r="F427" i="3"/>
  <c r="G427" i="3" s="1"/>
  <c r="F366" i="3"/>
  <c r="G366" i="3" s="1"/>
  <c r="C305" i="3"/>
  <c r="G244" i="3"/>
  <c r="E33" i="3"/>
  <c r="F33" i="3" s="1"/>
  <c r="G33" i="3" s="1"/>
  <c r="G183" i="3"/>
  <c r="E93" i="3"/>
  <c r="F93" i="3" s="1"/>
  <c r="G93" i="3"/>
  <c r="E305" i="3" l="1"/>
  <c r="F305" i="3" s="1"/>
  <c r="C34" i="3"/>
  <c r="C94" i="3"/>
  <c r="E34" i="3" l="1"/>
  <c r="F34" i="3" s="1"/>
  <c r="G34" i="3" s="1"/>
  <c r="E94" i="3"/>
  <c r="F94" i="3" s="1"/>
  <c r="G94" i="3" s="1"/>
  <c r="C35" i="3" l="1"/>
  <c r="C95" i="3"/>
  <c r="E35" i="3" l="1"/>
  <c r="F35" i="3" s="1"/>
  <c r="G35" i="3" s="1"/>
  <c r="E95" i="3"/>
  <c r="F95" i="3" s="1"/>
  <c r="G95" i="3"/>
  <c r="C36" i="3" l="1"/>
  <c r="C96" i="3"/>
  <c r="E36" i="3" l="1"/>
  <c r="F36" i="3" s="1"/>
  <c r="G36" i="3" s="1"/>
  <c r="E96" i="3"/>
  <c r="C37" i="3" l="1"/>
  <c r="G96" i="3"/>
  <c r="C97" i="3" s="1"/>
  <c r="F96" i="3"/>
  <c r="E37" i="3" l="1"/>
  <c r="F37" i="3" s="1"/>
  <c r="G37" i="3" s="1"/>
  <c r="E97" i="3"/>
  <c r="F97" i="3" s="1"/>
  <c r="G97" i="3"/>
  <c r="C38" i="3" l="1"/>
  <c r="C98" i="3"/>
  <c r="E38" i="3" l="1"/>
  <c r="F38" i="3" s="1"/>
  <c r="G38" i="3" s="1"/>
  <c r="C39" i="3" s="1"/>
  <c r="E98" i="3"/>
  <c r="F98" i="3" s="1"/>
  <c r="G98" i="3"/>
  <c r="E39" i="3" l="1"/>
  <c r="F39" i="3" s="1"/>
  <c r="G39" i="3" s="1"/>
  <c r="C99" i="3"/>
  <c r="C40" i="3" l="1"/>
  <c r="E99" i="3"/>
  <c r="F99" i="3" s="1"/>
  <c r="G99" i="3" s="1"/>
  <c r="E40" i="3" l="1"/>
  <c r="F40" i="3" s="1"/>
  <c r="G40" i="3" s="1"/>
  <c r="C100" i="3"/>
  <c r="C41" i="3" l="1"/>
  <c r="E100" i="3"/>
  <c r="F100" i="3" s="1"/>
  <c r="G100" i="3" s="1"/>
  <c r="E41" i="3" l="1"/>
  <c r="F41" i="3" s="1"/>
  <c r="G41" i="3" s="1"/>
  <c r="C101" i="3"/>
  <c r="C42" i="3" l="1"/>
  <c r="E101" i="3"/>
  <c r="F101" i="3" s="1"/>
  <c r="E42" i="3" l="1"/>
  <c r="F42" i="3" s="1"/>
  <c r="G42" i="3" s="1"/>
  <c r="G101" i="3"/>
  <c r="C102" i="3" s="1"/>
  <c r="C43" i="3" l="1"/>
  <c r="E102" i="3"/>
  <c r="F102" i="3" s="1"/>
  <c r="E43" i="3" l="1"/>
  <c r="F43" i="3" s="1"/>
  <c r="G43" i="3" s="1"/>
  <c r="G102" i="3"/>
  <c r="C103" i="3" s="1"/>
  <c r="C44" i="3" l="1"/>
  <c r="E103" i="3"/>
  <c r="F103" i="3" s="1"/>
  <c r="E44" i="3" l="1"/>
  <c r="F44" i="3" s="1"/>
  <c r="G44" i="3" s="1"/>
  <c r="G103" i="3"/>
  <c r="C104" i="3" s="1"/>
  <c r="C45" i="3" l="1"/>
  <c r="E104" i="3"/>
  <c r="F104" i="3" s="1"/>
  <c r="G45" i="3" l="1"/>
  <c r="E45" i="3"/>
  <c r="F45" i="3" s="1"/>
  <c r="G104" i="3"/>
  <c r="C105" i="3" s="1"/>
  <c r="C46" i="3" l="1"/>
  <c r="E105" i="3"/>
  <c r="F105" i="3" s="1"/>
  <c r="E46" i="3" l="1"/>
  <c r="F46" i="3" s="1"/>
  <c r="G46" i="3" s="1"/>
  <c r="G105" i="3"/>
  <c r="C106" i="3" s="1"/>
  <c r="C47" i="3" l="1"/>
  <c r="E106" i="3"/>
  <c r="F106" i="3" s="1"/>
  <c r="E47" i="3" l="1"/>
  <c r="F47" i="3" s="1"/>
  <c r="G47" i="3" s="1"/>
  <c r="G106" i="3"/>
  <c r="C107" i="3" s="1"/>
  <c r="C48" i="3" l="1"/>
  <c r="E107" i="3"/>
  <c r="F107" i="3" s="1"/>
  <c r="G107" i="3" s="1"/>
  <c r="E48" i="3" l="1"/>
  <c r="F48" i="3" s="1"/>
  <c r="G48" i="3" s="1"/>
  <c r="C108" i="3"/>
  <c r="C49" i="3" l="1"/>
  <c r="E108" i="3"/>
  <c r="E49" i="3" l="1"/>
  <c r="F49" i="3" s="1"/>
  <c r="G49" i="3" s="1"/>
  <c r="G108" i="3"/>
  <c r="C109" i="3" s="1"/>
  <c r="F108" i="3"/>
  <c r="C50" i="3" l="1"/>
  <c r="E109" i="3"/>
  <c r="F109" i="3" s="1"/>
  <c r="G50" i="3" l="1"/>
  <c r="E50" i="3"/>
  <c r="F50" i="3" s="1"/>
  <c r="G109" i="3"/>
  <c r="C110" i="3" s="1"/>
  <c r="C51" i="3" l="1"/>
  <c r="E110" i="3"/>
  <c r="F110" i="3" s="1"/>
  <c r="G51" i="3" l="1"/>
  <c r="E51" i="3"/>
  <c r="F51" i="3" s="1"/>
  <c r="G110" i="3"/>
  <c r="C111" i="3" s="1"/>
  <c r="C52" i="3" l="1"/>
  <c r="E111" i="3"/>
  <c r="F111" i="3" s="1"/>
  <c r="G52" i="3" l="1"/>
  <c r="E52" i="3"/>
  <c r="F52" i="3" s="1"/>
  <c r="C112" i="3"/>
  <c r="G111" i="3"/>
  <c r="C53" i="3" l="1"/>
  <c r="E112" i="3"/>
  <c r="F112" i="3" s="1"/>
  <c r="E53" i="3" l="1"/>
  <c r="F53" i="3" s="1"/>
  <c r="G53" i="3" s="1"/>
  <c r="G112" i="3"/>
  <c r="C113" i="3" s="1"/>
  <c r="C54" i="3" l="1"/>
  <c r="E113" i="3"/>
  <c r="F113" i="3" s="1"/>
  <c r="E54" i="3" l="1"/>
  <c r="F54" i="3" s="1"/>
  <c r="G54" i="3" s="1"/>
  <c r="G113" i="3"/>
  <c r="C114" i="3" s="1"/>
  <c r="C55" i="3" l="1"/>
  <c r="E114" i="3"/>
  <c r="F114" i="3" s="1"/>
  <c r="G55" i="3" l="1"/>
  <c r="E55" i="3"/>
  <c r="F55" i="3" s="1"/>
  <c r="G114" i="3"/>
  <c r="C115" i="3" s="1"/>
  <c r="C56" i="3" l="1"/>
  <c r="E115" i="3"/>
  <c r="F115" i="3" s="1"/>
  <c r="E56" i="3" l="1"/>
  <c r="F56" i="3" s="1"/>
  <c r="G56" i="3" s="1"/>
  <c r="G115" i="3"/>
  <c r="C116" i="3" s="1"/>
  <c r="C57" i="3" l="1"/>
  <c r="E116" i="3"/>
  <c r="F116" i="3" s="1"/>
  <c r="E57" i="3" l="1"/>
  <c r="F57" i="3" s="1"/>
  <c r="G57" i="3" s="1"/>
  <c r="G116" i="3"/>
  <c r="C117" i="3" s="1"/>
  <c r="C58" i="3" l="1"/>
  <c r="E117" i="3"/>
  <c r="E58" i="3" l="1"/>
  <c r="F58" i="3" s="1"/>
  <c r="G58" i="3" s="1"/>
  <c r="F117" i="3"/>
  <c r="G117" i="3" s="1"/>
  <c r="C118" i="3" s="1"/>
  <c r="C59" i="3" l="1"/>
  <c r="E118" i="3"/>
  <c r="F118" i="3" s="1"/>
  <c r="G118" i="3"/>
  <c r="E59" i="3" l="1"/>
  <c r="F59" i="3" s="1"/>
  <c r="C119" i="3"/>
  <c r="G59" i="3" l="1"/>
  <c r="C60" i="3" s="1"/>
  <c r="E119" i="3"/>
  <c r="G60" i="3" l="1"/>
  <c r="C61" i="3" s="1"/>
  <c r="E60" i="3"/>
  <c r="F60" i="3" s="1"/>
  <c r="F119" i="3"/>
  <c r="G119" i="3" s="1"/>
  <c r="C120" i="3" s="1"/>
  <c r="E61" i="3" l="1"/>
  <c r="F61" i="3" s="1"/>
  <c r="G61" i="3" s="1"/>
  <c r="E120" i="3"/>
  <c r="F120" i="3" s="1"/>
  <c r="G120" i="3"/>
  <c r="C121" i="3" l="1"/>
  <c r="E121" i="3" l="1"/>
  <c r="F121" i="3" s="1"/>
  <c r="G121" i="3" l="1"/>
  <c r="C122" i="3" s="1"/>
  <c r="E122" i="3" l="1"/>
  <c r="F122" i="3" l="1"/>
  <c r="G122" i="3" s="1"/>
</calcChain>
</file>

<file path=xl/sharedStrings.xml><?xml version="1.0" encoding="utf-8"?>
<sst xmlns="http://schemas.openxmlformats.org/spreadsheetml/2006/main" count="63" uniqueCount="40">
  <si>
    <t>LoanID</t>
  </si>
  <si>
    <t>Principal</t>
  </si>
  <si>
    <t>AnnualRate</t>
  </si>
  <si>
    <t>TermMonths</t>
  </si>
  <si>
    <t>StartMonth</t>
  </si>
  <si>
    <t>PD_Annual</t>
  </si>
  <si>
    <t>LGD</t>
  </si>
  <si>
    <t>Note</t>
  </si>
  <si>
    <t>L1</t>
  </si>
  <si>
    <t>base example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</si>
  <si>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</si>
  <si>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</si>
  <si>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</si>
  <si>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</si>
  <si>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</si>
  <si>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</si>
  <si>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</si>
  <si>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</si>
  <si>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</si>
  <si>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DiscRate_Low</t>
  </si>
  <si>
    <t>DiscRate_Base</t>
  </si>
  <si>
    <t>DiscRate_High</t>
  </si>
  <si>
    <t>DiscRate_Low_m</t>
  </si>
  <si>
    <t>DiscRate_Base_m</t>
  </si>
  <si>
    <t>DiscRate_High_m</t>
  </si>
  <si>
    <t>Month</t>
  </si>
  <si>
    <t>Portfolio_CF</t>
  </si>
  <si>
    <t>DF_low</t>
  </si>
  <si>
    <t>DF_base</t>
  </si>
  <si>
    <t>DF_high</t>
  </si>
  <si>
    <t>PV_low</t>
  </si>
  <si>
    <t>PV_base</t>
  </si>
  <si>
    <t>PV_high</t>
  </si>
  <si>
    <t>Total PV</t>
  </si>
  <si>
    <t>Beginning Balance</t>
  </si>
  <si>
    <t>Payment</t>
  </si>
  <si>
    <t>Interest</t>
  </si>
  <si>
    <t>Ending Balance</t>
  </si>
  <si>
    <t>Cash Flow</t>
  </si>
  <si>
    <t>Total_CF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</si>
</sst>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Ksh&quot;#,##0.00;[Red]\-&quot;Ksh&quot;#,##0.00"/>
  </numFmts>
  <fonts count="2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8" fontId="0" fillId="0" borderId="0" xfId="0" applyNumberFormat="1"/>
    <xf numFmtId="8" fontId="0" fillId="0" borderId="2" xfId="0" applyNumberFormat="1" applyBorder="1"/>
    <xf numFmtId="8" fontId="0" fillId="0" borderId="3" xfId="0" applyNumberFormat="1" applyBorder="1"/>
    <xf numFmtId="8" fontId="0" fillId="0" borderId="5" xfId="0" applyNumberFormat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Portfolio Monthly Cash Flow (Deterministic)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Portfolio!$B$1</c:f>
              <c:strCache>
                <c:ptCount val="1"/>
                <c:pt idx="0">
                  <c:v>Total_CF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Portfolio!$A$2:$A$61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Portfolio!$B$2:$B$61</c:f>
              <c:numCache>
                <c:formatCode>General</c:formatCode>
                <c:ptCount val="60"/>
                <c:pt idx="0">
                  <c:v>5006.1684275049565</c:v>
                </c:pt>
                <c:pt idx="1">
                  <c:v>5006.1684275049565</c:v>
                </c:pt>
                <c:pt idx="2">
                  <c:v>5006.1684275049565</c:v>
                </c:pt>
                <c:pt idx="3">
                  <c:v>5006.1684275049565</c:v>
                </c:pt>
                <c:pt idx="4">
                  <c:v>5006.1684275049565</c:v>
                </c:pt>
                <c:pt idx="5">
                  <c:v>5006.1684275049565</c:v>
                </c:pt>
                <c:pt idx="6">
                  <c:v>5006.1684275049565</c:v>
                </c:pt>
                <c:pt idx="7">
                  <c:v>5006.1684275049565</c:v>
                </c:pt>
                <c:pt idx="8">
                  <c:v>5006.1684275049565</c:v>
                </c:pt>
                <c:pt idx="9">
                  <c:v>5006.1684275049565</c:v>
                </c:pt>
                <c:pt idx="10">
                  <c:v>5006.1684275049565</c:v>
                </c:pt>
                <c:pt idx="11">
                  <c:v>5006.1684275049565</c:v>
                </c:pt>
                <c:pt idx="12">
                  <c:v>5006.1684275049565</c:v>
                </c:pt>
                <c:pt idx="13">
                  <c:v>5006.1684275049565</c:v>
                </c:pt>
                <c:pt idx="14">
                  <c:v>5006.1684275049565</c:v>
                </c:pt>
                <c:pt idx="15">
                  <c:v>5006.1684275049565</c:v>
                </c:pt>
                <c:pt idx="16">
                  <c:v>5006.1684275049565</c:v>
                </c:pt>
                <c:pt idx="17">
                  <c:v>5006.1684275049565</c:v>
                </c:pt>
                <c:pt idx="18">
                  <c:v>5006.1684275049565</c:v>
                </c:pt>
                <c:pt idx="19">
                  <c:v>5006.1684275049565</c:v>
                </c:pt>
                <c:pt idx="20">
                  <c:v>5006.1684275049565</c:v>
                </c:pt>
                <c:pt idx="21">
                  <c:v>5006.1684275049565</c:v>
                </c:pt>
                <c:pt idx="22">
                  <c:v>5006.1684275049565</c:v>
                </c:pt>
                <c:pt idx="23">
                  <c:v>5006.1684275049565</c:v>
                </c:pt>
                <c:pt idx="24">
                  <c:v>5006.1684275049565</c:v>
                </c:pt>
                <c:pt idx="25">
                  <c:v>5006.1684275049565</c:v>
                </c:pt>
                <c:pt idx="26">
                  <c:v>5006.1684275049565</c:v>
                </c:pt>
                <c:pt idx="27">
                  <c:v>5006.1684275049565</c:v>
                </c:pt>
                <c:pt idx="28">
                  <c:v>5006.1684275049565</c:v>
                </c:pt>
                <c:pt idx="29">
                  <c:v>5006.1684275049565</c:v>
                </c:pt>
                <c:pt idx="30">
                  <c:v>5006.1684275049565</c:v>
                </c:pt>
                <c:pt idx="31">
                  <c:v>5006.1684275049565</c:v>
                </c:pt>
                <c:pt idx="32">
                  <c:v>5006.1684275049565</c:v>
                </c:pt>
                <c:pt idx="33">
                  <c:v>5006.1684275049565</c:v>
                </c:pt>
                <c:pt idx="34">
                  <c:v>5006.1684275049565</c:v>
                </c:pt>
                <c:pt idx="35">
                  <c:v>5006.1684275049565</c:v>
                </c:pt>
                <c:pt idx="36">
                  <c:v>5006.1684275049565</c:v>
                </c:pt>
                <c:pt idx="37">
                  <c:v>5006.1684275049565</c:v>
                </c:pt>
                <c:pt idx="38">
                  <c:v>5006.1684275049565</c:v>
                </c:pt>
                <c:pt idx="39">
                  <c:v>5006.1684275049565</c:v>
                </c:pt>
                <c:pt idx="40">
                  <c:v>5006.1684275049565</c:v>
                </c:pt>
                <c:pt idx="41">
                  <c:v>5006.1684275049565</c:v>
                </c:pt>
                <c:pt idx="42">
                  <c:v>5006.1684275049565</c:v>
                </c:pt>
                <c:pt idx="43">
                  <c:v>5006.1684275049565</c:v>
                </c:pt>
                <c:pt idx="44">
                  <c:v>5006.1684275049565</c:v>
                </c:pt>
                <c:pt idx="45">
                  <c:v>5006.1684275049565</c:v>
                </c:pt>
                <c:pt idx="46">
                  <c:v>5006.1684275049565</c:v>
                </c:pt>
                <c:pt idx="47">
                  <c:v>5006.1684275049565</c:v>
                </c:pt>
                <c:pt idx="48">
                  <c:v>5006.1684275049565</c:v>
                </c:pt>
                <c:pt idx="49">
                  <c:v>5006.1684275049565</c:v>
                </c:pt>
                <c:pt idx="50">
                  <c:v>5006.1684275049565</c:v>
                </c:pt>
                <c:pt idx="51">
                  <c:v>5006.1684275049565</c:v>
                </c:pt>
                <c:pt idx="52">
                  <c:v>5006.1684275049565</c:v>
                </c:pt>
                <c:pt idx="53">
                  <c:v>5006.1684275049565</c:v>
                </c:pt>
                <c:pt idx="54">
                  <c:v>5006.1684275049565</c:v>
                </c:pt>
                <c:pt idx="55">
                  <c:v>5006.1684275049565</c:v>
                </c:pt>
                <c:pt idx="56">
                  <c:v>5006.1684275049565</c:v>
                </c:pt>
                <c:pt idx="57">
                  <c:v>5006.1684275049565</c:v>
                </c:pt>
                <c:pt idx="58">
                  <c:v>5006.1684275049565</c:v>
                </c:pt>
                <c:pt idx="59">
                  <c:v>5006.1684275049565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1-4C39-B448-253672973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Cash Flow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PV by Discount-Rate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PV_low</c:v>
          </c:tx>
          <c:spPr>
            <a:ln>
              <a:prstDash val="solid"/>
            </a:ln>
          </c:spPr>
          <c:invertIfNegative val="0"/>
          <c:cat>
            <c:strRef>
              <c:f>Valuation!$F$62:$H$62</c:f>
              <c:strCache>
                <c:ptCount val="3"/>
                <c:pt idx="0">
                  <c:v>PV_low</c:v>
                </c:pt>
                <c:pt idx="1">
                  <c:v>PV_base</c:v>
                </c:pt>
                <c:pt idx="2">
                  <c:v>PV_high</c:v>
                </c:pt>
              </c:strCache>
            </c:strRef>
          </c:cat>
          <c:val>
            <c:numRef>
              <c:f>Valuation!$F$63</c:f>
              <c:numCache>
                <c:formatCode>General</c:formatCode>
                <c:ptCount val="1"/>
                <c:pt idx="0">
                  <c:v>278884.15677660686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5-498C-A887-3DE7810B605E}"/>
            </c:ext>
          </c:extLst>
        </c:ser>
        <c:ser>
          <c:idx val="1"/>
          <c:order val="1"/>
          <c:tx>
            <c:v>PV_base</c:v>
          </c:tx>
          <c:spPr>
            <a:ln>
              <a:prstDash val="solid"/>
            </a:ln>
          </c:spPr>
          <c:invertIfNegative val="0"/>
          <c:cat>
            <c:strRef>
              <c:f>Valuation!$F$62:$H$62</c:f>
              <c:strCache>
                <c:ptCount val="3"/>
                <c:pt idx="0">
                  <c:v>PV_low</c:v>
                </c:pt>
                <c:pt idx="1">
                  <c:v>PV_base</c:v>
                </c:pt>
                <c:pt idx="2">
                  <c:v>PV_high</c:v>
                </c:pt>
              </c:strCache>
            </c:strRef>
          </c:cat>
          <c:val>
            <c:numRef>
              <c:f>Valuation!$G$63</c:f>
              <c:numCache>
                <c:formatCode>General</c:formatCode>
                <c:ptCount val="1"/>
                <c:pt idx="0">
                  <c:v>265996.94274289429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5-498C-A887-3DE7810B605E}"/>
            </c:ext>
          </c:extLst>
        </c:ser>
        <c:ser>
          <c:idx val="2"/>
          <c:order val="2"/>
          <c:tx>
            <c:v>PV_high</c:v>
          </c:tx>
          <c:spPr>
            <a:ln>
              <a:prstDash val="solid"/>
            </a:ln>
          </c:spPr>
          <c:invertIfNegative val="0"/>
          <c:cat>
            <c:strRef>
              <c:f>Valuation!$F$62:$H$62</c:f>
              <c:strCache>
                <c:ptCount val="3"/>
                <c:pt idx="0">
                  <c:v>PV_low</c:v>
                </c:pt>
                <c:pt idx="1">
                  <c:v>PV_base</c:v>
                </c:pt>
                <c:pt idx="2">
                  <c:v>PV_high</c:v>
                </c:pt>
              </c:strCache>
            </c:strRef>
          </c:cat>
          <c:val>
            <c:numRef>
              <c:f>Valuation!$H$63</c:f>
              <c:numCache>
                <c:formatCode>General</c:formatCode>
                <c:ptCount val="1"/>
                <c:pt idx="0">
                  <c:v>248530.74774052281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85-498C-A887-3DE7810B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Present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108700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23178-F258-40CB-B6EB-0902210F2560}" name="Table1" displayName="Table1" ref="A1:H11" totalsRowShown="0" headerRowDxfId="2">
  <autoFilter ref="A1:H11" xr:uid="{31423178-F258-40CB-B6EB-0902210F2560}"/>
  <tableColumns count="8">
    <tableColumn id="1" xr3:uid="{91F59F0C-D6F8-4A55-8D18-448B96D0DF21}" name="LoanID"/>
    <tableColumn id="2" xr3:uid="{5EEB5E25-85CC-491C-A8A4-E4B5F522E517}" name="Principal"/>
    <tableColumn id="3" xr3:uid="{8A6BC351-740B-417A-9111-0453080871D0}" name="AnnualRate"/>
    <tableColumn id="4" xr3:uid="{41E472ED-D612-466B-B3C4-D983B8AE6056}" name="TermMonths"/>
    <tableColumn id="5" xr3:uid="{CA8C4BA1-5B31-49D6-8A87-0A705C94ACC0}" name="StartMonth"/>
    <tableColumn id="6" xr3:uid="{0AD07C50-4BC5-4420-8B4F-F85C1B1D843A}" name="PD_Annual"/>
    <tableColumn id="7" xr3:uid="{CB3FD4C1-37DB-4E78-B941-76DFF0065604}" name="LGD"/>
    <tableColumn id="8" xr3:uid="{96F1771D-7CD7-417E-9558-010A01732C2A}" name="Note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2B2EE-B207-406B-B738-690640DB493F}" name="Table3" displayName="Table3" ref="A1:H61" totalsRowShown="0">
  <autoFilter ref="A1:H61" xr:uid="{1D22B2EE-B207-406B-B738-690640DB493F}"/>
  <tableColumns count="8">
    <tableColumn id="1" xr3:uid="{ADB18841-6D89-4384-8C58-60DA12736599}" name="LoanID">
      <calculatedColumnFormula>Inputs!$A$2</calculatedColumnFormula>
    </tableColumn>
    <tableColumn id="2" xr3:uid="{8EEAA1D5-4235-472E-82F7-6C9FEC0B24B9}" name="Month"/>
    <tableColumn id="3" xr3:uid="{195DB60E-EC4E-4A38-934F-322105EB34CC}" name="Beginning Balance">
      <calculatedColumnFormula>G1</calculatedColumnFormula>
    </tableColumn>
    <tableColumn id="4" xr3:uid="{FEE92FC3-C101-4E24-B671-626BA21478EA}" name="Payment">
      <calculatedColumnFormula>-PMT(Inputs!$C$2/12, Inputs!$D$2, Inputs!$B$2)</calculatedColumnFormula>
    </tableColumn>
    <tableColumn id="5" xr3:uid="{07B695B5-A69E-4D76-BB8F-8F9F7770D79D}" name="Interest">
      <calculatedColumnFormula>C2 * (Inputs!$C$2/12)</calculatedColumnFormula>
    </tableColumn>
    <tableColumn id="6" xr3:uid="{D34146A1-9854-4E34-B92F-AF0A80881910}" name="Principal">
      <calculatedColumnFormula>D2 - E2</calculatedColumnFormula>
    </tableColumn>
    <tableColumn id="7" xr3:uid="{B9ADC0B7-A668-4716-B8AB-0715F5759F7B}" name="Ending Balance">
      <calculatedColumnFormula>C2 - F2</calculatedColumnFormula>
    </tableColumn>
    <tableColumn id="8" xr3:uid="{7C01F884-3537-45D0-9D9C-2C2FD35B46FD}" name="Cash Flow">
      <calculatedColumnFormula>D2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20110C-E3A8-44BC-B030-D413D569B404}" name="Table4" displayName="Table4" ref="A1:B61" totalsRowShown="0">
  <autoFilter ref="A1:B61" xr:uid="{7620110C-E3A8-44BC-B030-D413D569B404}"/>
  <tableColumns count="2">
    <tableColumn id="1" xr3:uid="{860A97A8-1F28-4E93-845B-E1CF5667B5B3}" name="Month"/>
    <tableColumn id="2" xr3:uid="{82AE72E9-64E0-4E28-A8FE-85AB44C9E26E}" name="Total_CF">
      <calculatedColumnFormula>SUMIF(Schedule!$B$2:$B$610, A2, Schedule!$H$2:$H$610)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74678-223E-4CB2-91B6-B6F63B3A38CC}" name="Table2" displayName="Table2" ref="A1:H61" totalsRowShown="0">
  <autoFilter ref="A1:H61" xr:uid="{51074678-223E-4CB2-91B6-B6F63B3A38CC}"/>
  <tableColumns count="8">
    <tableColumn id="1" xr3:uid="{84B8BD20-C806-4E03-9967-24F5172B394E}" name="Month"/>
    <tableColumn id="2" xr3:uid="{49BDFE05-9E75-4AB3-97E9-869CBEB94440}" name="Portfolio_CF">
      <calculatedColumnFormula>Portfolio!B2</calculatedColumnFormula>
    </tableColumn>
    <tableColumn id="3" xr3:uid="{B39D02C4-48D2-4522-BA29-E91570FAB5B6}" name="DF_low">
      <calculatedColumnFormula>1/(1+r_low_m)^A2</calculatedColumnFormula>
    </tableColumn>
    <tableColumn id="4" xr3:uid="{90B1C847-3E47-4D7A-9100-316BB22734B3}" name="DF_base">
      <calculatedColumnFormula>1/(1+r_base_m)^A2</calculatedColumnFormula>
    </tableColumn>
    <tableColumn id="5" xr3:uid="{5347CD9C-44BD-4681-BDC1-57500A3F9592}" name="DF_high">
      <calculatedColumnFormula>1/(1+r_high_m)^A2</calculatedColumnFormula>
    </tableColumn>
    <tableColumn id="6" xr3:uid="{8DD7158A-4B0F-4861-8A56-B46164FECBEF}" name="PV_low" dataDxfId="1">
      <calculatedColumnFormula>B2*C2</calculatedColumnFormula>
    </tableColumn>
    <tableColumn id="7" xr3:uid="{BA0A4056-28F4-4789-AE4A-C11FB865888E}" name="PV_base">
      <calculatedColumnFormula>B2*D2</calculatedColumnFormula>
    </tableColumn>
    <tableColumn id="8" xr3:uid="{821169FA-DE69-43F2-9820-B19595489F8D}" name="PV_high">
      <calculatedColumnFormula>B2*E2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CE2E48-4456-478A-B0BD-5F97FFD2E015}" name="Table16" displayName="Table16" ref="A1:F11" totalsRowShown="0" headerRowDxfId="0">
  <autoFilter ref="A1:F11" xr:uid="{9CCE2E48-4456-478A-B0BD-5F97FFD2E015}"/>
  <tableColumns count="6">
    <tableColumn id="1" xr3:uid="{5A709AB0-E8A6-40A8-8F42-8C4A268A1B87}" name="LoanID"/>
    <tableColumn id="2" xr3:uid="{C336A5A0-4A80-482D-8932-E9637354F83A}" name="Principal"/>
    <tableColumn id="3" xr3:uid="{CE572F15-783F-4BE7-9149-78B6B0811409}" name="AnnualRate"/>
    <tableColumn id="4" xr3:uid="{3F1C2A72-B1AE-41FC-8FED-1224BE63F675}" name="TermMonths"/>
    <tableColumn id="6" xr3:uid="{599DC89C-3E94-421A-BA3C-A90AD6D86020}" name="PD_Annual"/>
    <tableColumn id="7" xr3:uid="{3C2A7696-565E-4BFC-A68C-947D05965A3F}" name="LGD">
      <calculatedColumnFormula>Inputs!$G2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G13" sqref="G13"/>
    </sheetView>
  </sheetViews>
  <sheetFormatPr defaultRowHeight="14.5" x14ac:dyDescent="0.35"/>
  <cols>
    <col min="1" max="1" width="15.90625" customWidth="1"/>
    <col min="2" max="2" width="9.90625" customWidth="1"/>
    <col min="3" max="3" width="12.453125" customWidth="1"/>
    <col min="4" max="4" width="13.6328125" customWidth="1"/>
    <col min="5" max="5" width="12.36328125" customWidth="1"/>
    <col min="6" max="6" width="12" customWidth="1"/>
    <col min="8" max="8" width="11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25000</v>
      </c>
      <c r="C2">
        <v>0.08</v>
      </c>
      <c r="D2">
        <v>60</v>
      </c>
      <c r="E2">
        <v>1</v>
      </c>
      <c r="F2">
        <v>0.04</v>
      </c>
      <c r="G2">
        <v>0.4</v>
      </c>
      <c r="H2" t="s">
        <v>9</v>
      </c>
    </row>
    <row r="3" spans="1:8" x14ac:dyDescent="0.35">
      <c r="A3" t="s">
        <v>10</v>
      </c>
      <c r="B3">
        <v>15000</v>
      </c>
      <c r="C3">
        <v>6.5000000000000002E-2</v>
      </c>
      <c r="D3">
        <v>60</v>
      </c>
      <c r="E3">
        <v>1</v>
      </c>
      <c r="F3">
        <v>0.03</v>
      </c>
      <c r="G3">
        <v>0.5</v>
      </c>
    </row>
    <row r="4" spans="1:8" x14ac:dyDescent="0.35">
      <c r="A4" t="s">
        <v>11</v>
      </c>
      <c r="B4">
        <v>30000</v>
      </c>
      <c r="C4">
        <v>7.1999999999999995E-2</v>
      </c>
      <c r="D4">
        <v>60</v>
      </c>
      <c r="E4">
        <v>1</v>
      </c>
      <c r="F4">
        <v>0.05</v>
      </c>
      <c r="G4">
        <v>0.25</v>
      </c>
    </row>
    <row r="5" spans="1:8" x14ac:dyDescent="0.35">
      <c r="A5" t="s">
        <v>12</v>
      </c>
      <c r="B5">
        <v>12000</v>
      </c>
      <c r="C5">
        <v>5.5E-2</v>
      </c>
      <c r="D5">
        <v>60</v>
      </c>
      <c r="E5">
        <v>1</v>
      </c>
      <c r="F5">
        <v>0.02</v>
      </c>
      <c r="G5">
        <v>0.6</v>
      </c>
    </row>
    <row r="6" spans="1:8" x14ac:dyDescent="0.35">
      <c r="A6" t="s">
        <v>13</v>
      </c>
      <c r="B6">
        <v>40000</v>
      </c>
      <c r="C6">
        <v>0.09</v>
      </c>
      <c r="D6">
        <v>60</v>
      </c>
      <c r="E6">
        <v>1</v>
      </c>
      <c r="F6">
        <v>0.06</v>
      </c>
      <c r="G6">
        <v>0.5</v>
      </c>
    </row>
    <row r="7" spans="1:8" x14ac:dyDescent="0.35">
      <c r="A7" t="s">
        <v>14</v>
      </c>
      <c r="B7">
        <v>18000</v>
      </c>
      <c r="C7">
        <v>6.8000000000000005E-2</v>
      </c>
      <c r="D7">
        <v>60</v>
      </c>
      <c r="E7">
        <v>1</v>
      </c>
      <c r="F7">
        <v>0.03</v>
      </c>
      <c r="G7">
        <v>0.45</v>
      </c>
    </row>
    <row r="8" spans="1:8" x14ac:dyDescent="0.35">
      <c r="A8" t="s">
        <v>15</v>
      </c>
      <c r="B8">
        <v>22000</v>
      </c>
      <c r="C8">
        <v>7.4999999999999997E-2</v>
      </c>
      <c r="D8">
        <v>60</v>
      </c>
      <c r="E8">
        <v>1</v>
      </c>
      <c r="F8">
        <v>0.04</v>
      </c>
      <c r="G8">
        <v>0.3</v>
      </c>
    </row>
    <row r="9" spans="1:8" x14ac:dyDescent="0.35">
      <c r="A9" t="s">
        <v>16</v>
      </c>
      <c r="B9">
        <v>50000</v>
      </c>
      <c r="C9">
        <v>8.5000000000000006E-2</v>
      </c>
      <c r="D9">
        <v>60</v>
      </c>
      <c r="E9">
        <v>1</v>
      </c>
      <c r="F9">
        <v>7.0000000000000007E-2</v>
      </c>
      <c r="G9">
        <v>0.2</v>
      </c>
    </row>
    <row r="10" spans="1:8" x14ac:dyDescent="0.35">
      <c r="A10" t="s">
        <v>17</v>
      </c>
      <c r="B10">
        <v>27000</v>
      </c>
      <c r="C10">
        <v>7.0000000000000007E-2</v>
      </c>
      <c r="D10">
        <v>60</v>
      </c>
      <c r="E10">
        <v>1</v>
      </c>
      <c r="F10">
        <v>0.04</v>
      </c>
      <c r="G10">
        <v>0.35</v>
      </c>
    </row>
    <row r="11" spans="1:8" x14ac:dyDescent="0.35">
      <c r="A11" t="s">
        <v>18</v>
      </c>
      <c r="B11">
        <v>10000</v>
      </c>
      <c r="C11">
        <v>0.06</v>
      </c>
      <c r="D11">
        <v>60</v>
      </c>
      <c r="E11">
        <v>1</v>
      </c>
      <c r="F11">
        <v>0.02</v>
      </c>
      <c r="G11">
        <v>0.4</v>
      </c>
    </row>
    <row r="13" spans="1:8" x14ac:dyDescent="0.35">
      <c r="A13" t="s">
        <v>19</v>
      </c>
      <c r="B13">
        <v>0.03</v>
      </c>
    </row>
    <row r="14" spans="1:8" x14ac:dyDescent="0.35">
      <c r="A14" t="s">
        <v>20</v>
      </c>
      <c r="B14">
        <v>0.05</v>
      </c>
    </row>
    <row r="15" spans="1:8" x14ac:dyDescent="0.35">
      <c r="A15" t="s">
        <v>21</v>
      </c>
      <c r="B15">
        <v>0.08</v>
      </c>
    </row>
    <row r="16" spans="1:8" x14ac:dyDescent="0.35">
      <c r="A16" t="s">
        <v>22</v>
      </c>
      <c r="B16">
        <f>(1+B13)^(1/12)-1</f>
        <v>2.4662697723036864E-3</v>
      </c>
    </row>
    <row r="17" spans="1:2" x14ac:dyDescent="0.35">
      <c r="A17" t="s">
        <v>23</v>
      </c>
      <c r="B17">
        <f>(1+B14)^(1/12)-1</f>
        <v>4.0741237836483535E-3</v>
      </c>
    </row>
    <row r="18" spans="1:2" x14ac:dyDescent="0.35">
      <c r="A18" t="s">
        <v>24</v>
      </c>
      <c r="B18">
        <f>(1+B15)^(1/12)-1</f>
        <v>6.4340301100034303E-3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0"/>
  <sheetViews>
    <sheetView topLeftCell="A225" workbookViewId="0">
      <selection activeCell="D239" sqref="D239"/>
    </sheetView>
  </sheetViews>
  <sheetFormatPr defaultRowHeight="14.5" x14ac:dyDescent="0.35"/>
  <cols>
    <col min="3" max="3" width="18.81640625" customWidth="1"/>
    <col min="4" max="4" width="11.26953125" customWidth="1"/>
    <col min="5" max="5" width="10.26953125" customWidth="1"/>
    <col min="6" max="6" width="11.6328125" customWidth="1"/>
    <col min="7" max="7" width="15.36328125" customWidth="1"/>
    <col min="8" max="8" width="11.1796875" customWidth="1"/>
  </cols>
  <sheetData>
    <row r="1" spans="1:8" x14ac:dyDescent="0.35">
      <c r="A1" t="s">
        <v>0</v>
      </c>
      <c r="B1" t="s">
        <v>25</v>
      </c>
      <c r="C1" t="s">
        <v>34</v>
      </c>
      <c r="D1" t="s">
        <v>35</v>
      </c>
      <c r="E1" t="s">
        <v>36</v>
      </c>
      <c r="F1" t="s">
        <v>1</v>
      </c>
      <c r="G1" t="s">
        <v>37</v>
      </c>
      <c r="H1" t="s">
        <v>38</v>
      </c>
    </row>
    <row r="2" spans="1:8" x14ac:dyDescent="0.35">
      <c r="A2" t="str">
        <f>Inputs!$A$2</f>
        <v>L1</v>
      </c>
      <c r="B2">
        <v>1</v>
      </c>
      <c r="C2">
        <f>Inputs!$B$2</f>
        <v>25000</v>
      </c>
      <c r="D2" s="5">
        <f>-PMT(Inputs!$C$2/12, Inputs!$D$2, Inputs!$B$2)</f>
        <v>506.90985721034207</v>
      </c>
      <c r="E2">
        <f>C2 * (Inputs!$C$2/12)</f>
        <v>166.66666666666669</v>
      </c>
      <c r="F2" s="5">
        <f>D2 - E2</f>
        <v>340.24319054367538</v>
      </c>
      <c r="G2" s="5">
        <f>C2 - F2</f>
        <v>24659.756809456325</v>
      </c>
      <c r="H2" s="5">
        <f>D2</f>
        <v>506.90985721034207</v>
      </c>
    </row>
    <row r="3" spans="1:8" x14ac:dyDescent="0.35">
      <c r="A3" t="str">
        <f>Inputs!$A$2</f>
        <v>L1</v>
      </c>
      <c r="B3">
        <v>2</v>
      </c>
      <c r="C3">
        <f>G2</f>
        <v>24659.756809456325</v>
      </c>
      <c r="D3" s="5">
        <f>-PMT(Inputs!$C$2/12, Inputs!$D$2, Inputs!$B$2)</f>
        <v>506.90985721034207</v>
      </c>
      <c r="E3">
        <f>C3 * (Inputs!$C$2/12)</f>
        <v>164.39837872970884</v>
      </c>
      <c r="F3" s="5">
        <f t="shared" ref="F3:F61" si="0">D3 - E3</f>
        <v>342.51147848063323</v>
      </c>
      <c r="G3">
        <f t="shared" ref="G3:G33" si="1">C3 - F3</f>
        <v>24317.245330975693</v>
      </c>
      <c r="H3" s="5">
        <f t="shared" ref="H3:H61" si="2">D3</f>
        <v>506.90985721034207</v>
      </c>
    </row>
    <row r="4" spans="1:8" x14ac:dyDescent="0.35">
      <c r="A4" t="str">
        <f>Inputs!$A$2</f>
        <v>L1</v>
      </c>
      <c r="B4">
        <v>3</v>
      </c>
      <c r="C4">
        <f t="shared" ref="C4:C34" si="3">G3</f>
        <v>24317.245330975693</v>
      </c>
      <c r="D4" s="5">
        <f>-PMT(Inputs!$C$2/12, Inputs!$D$2, Inputs!$B$2)</f>
        <v>506.90985721034207</v>
      </c>
      <c r="E4">
        <f>C4 * (Inputs!$C$2/12)</f>
        <v>162.11496887317131</v>
      </c>
      <c r="F4" s="5">
        <f t="shared" si="0"/>
        <v>344.79488833717073</v>
      </c>
      <c r="G4">
        <f t="shared" si="1"/>
        <v>23972.450442638521</v>
      </c>
      <c r="H4" s="5">
        <f t="shared" si="2"/>
        <v>506.90985721034207</v>
      </c>
    </row>
    <row r="5" spans="1:8" x14ac:dyDescent="0.35">
      <c r="A5" t="str">
        <f>Inputs!$A$2</f>
        <v>L1</v>
      </c>
      <c r="B5">
        <v>4</v>
      </c>
      <c r="C5">
        <f t="shared" si="3"/>
        <v>23972.450442638521</v>
      </c>
      <c r="D5" s="5">
        <f>-PMT(Inputs!$C$2/12, Inputs!$D$2, Inputs!$B$2)</f>
        <v>506.90985721034207</v>
      </c>
      <c r="E5">
        <f>C5 * (Inputs!$C$2/12)</f>
        <v>159.81633628425681</v>
      </c>
      <c r="F5" s="5">
        <f t="shared" si="0"/>
        <v>347.09352092608526</v>
      </c>
      <c r="G5">
        <f t="shared" si="1"/>
        <v>23625.356921712435</v>
      </c>
      <c r="H5" s="5">
        <f t="shared" si="2"/>
        <v>506.90985721034207</v>
      </c>
    </row>
    <row r="6" spans="1:8" x14ac:dyDescent="0.35">
      <c r="A6" t="str">
        <f>Inputs!$A$2</f>
        <v>L1</v>
      </c>
      <c r="B6">
        <v>5</v>
      </c>
      <c r="C6">
        <f t="shared" si="3"/>
        <v>23625.356921712435</v>
      </c>
      <c r="D6" s="5">
        <f>-PMT(Inputs!$C$2/12, Inputs!$D$2, Inputs!$B$2)</f>
        <v>506.90985721034207</v>
      </c>
      <c r="E6">
        <f>C6 * (Inputs!$C$2/12)</f>
        <v>157.5023794780829</v>
      </c>
      <c r="F6" s="5">
        <f t="shared" si="0"/>
        <v>349.40747773225917</v>
      </c>
      <c r="G6">
        <f t="shared" si="1"/>
        <v>23275.949443980175</v>
      </c>
      <c r="H6" s="5">
        <f t="shared" si="2"/>
        <v>506.90985721034207</v>
      </c>
    </row>
    <row r="7" spans="1:8" x14ac:dyDescent="0.35">
      <c r="A7" t="str">
        <f>Inputs!$A$2</f>
        <v>L1</v>
      </c>
      <c r="B7">
        <v>6</v>
      </c>
      <c r="C7">
        <f t="shared" si="3"/>
        <v>23275.949443980175</v>
      </c>
      <c r="D7" s="5">
        <f>-PMT(Inputs!$C$2/12, Inputs!$D$2, Inputs!$B$2)</f>
        <v>506.90985721034207</v>
      </c>
      <c r="E7">
        <f>C7 * (Inputs!$C$2/12)</f>
        <v>155.17299629320118</v>
      </c>
      <c r="F7" s="5">
        <f t="shared" si="0"/>
        <v>351.73686091714092</v>
      </c>
      <c r="G7">
        <f t="shared" si="1"/>
        <v>22924.212583063032</v>
      </c>
      <c r="H7" s="5">
        <f t="shared" si="2"/>
        <v>506.90985721034207</v>
      </c>
    </row>
    <row r="8" spans="1:8" x14ac:dyDescent="0.35">
      <c r="A8" t="str">
        <f>Inputs!$A$2</f>
        <v>L1</v>
      </c>
      <c r="B8">
        <v>7</v>
      </c>
      <c r="C8">
        <f t="shared" si="3"/>
        <v>22924.212583063032</v>
      </c>
      <c r="D8" s="5">
        <f>-PMT(Inputs!$C$2/12, Inputs!$D$2, Inputs!$B$2)</f>
        <v>506.90985721034207</v>
      </c>
      <c r="E8">
        <f>C8 * (Inputs!$C$2/12)</f>
        <v>152.82808388708688</v>
      </c>
      <c r="F8" s="5">
        <f t="shared" si="0"/>
        <v>354.08177332325522</v>
      </c>
      <c r="G8">
        <f t="shared" si="1"/>
        <v>22570.130809739778</v>
      </c>
      <c r="H8" s="5">
        <f t="shared" si="2"/>
        <v>506.90985721034207</v>
      </c>
    </row>
    <row r="9" spans="1:8" x14ac:dyDescent="0.35">
      <c r="A9" t="str">
        <f>Inputs!$A$2</f>
        <v>L1</v>
      </c>
      <c r="B9">
        <v>8</v>
      </c>
      <c r="C9">
        <f t="shared" si="3"/>
        <v>22570.130809739778</v>
      </c>
      <c r="D9" s="5">
        <f>-PMT(Inputs!$C$2/12, Inputs!$D$2, Inputs!$B$2)</f>
        <v>506.90985721034207</v>
      </c>
      <c r="E9">
        <f>C9 * (Inputs!$C$2/12)</f>
        <v>150.46753873159852</v>
      </c>
      <c r="F9" s="5">
        <f t="shared" si="0"/>
        <v>356.44231847874357</v>
      </c>
      <c r="G9">
        <f t="shared" si="1"/>
        <v>22213.688491261033</v>
      </c>
      <c r="H9" s="5">
        <f t="shared" si="2"/>
        <v>506.90985721034207</v>
      </c>
    </row>
    <row r="10" spans="1:8" x14ac:dyDescent="0.35">
      <c r="A10" t="str">
        <f>Inputs!$A$2</f>
        <v>L1</v>
      </c>
      <c r="B10">
        <v>9</v>
      </c>
      <c r="C10">
        <f t="shared" si="3"/>
        <v>22213.688491261033</v>
      </c>
      <c r="D10" s="5">
        <f>-PMT(Inputs!$C$2/12, Inputs!$D$2, Inputs!$B$2)</f>
        <v>506.90985721034207</v>
      </c>
      <c r="E10">
        <f>C10 * (Inputs!$C$2/12)</f>
        <v>148.09125660840689</v>
      </c>
      <c r="F10" s="5">
        <f t="shared" si="0"/>
        <v>358.81860060193515</v>
      </c>
      <c r="G10">
        <f t="shared" si="1"/>
        <v>21854.869890659098</v>
      </c>
      <c r="H10" s="5">
        <f t="shared" si="2"/>
        <v>506.90985721034207</v>
      </c>
    </row>
    <row r="11" spans="1:8" x14ac:dyDescent="0.35">
      <c r="A11" t="str">
        <f>Inputs!$A$2</f>
        <v>L1</v>
      </c>
      <c r="B11">
        <v>10</v>
      </c>
      <c r="C11">
        <f t="shared" si="3"/>
        <v>21854.869890659098</v>
      </c>
      <c r="D11" s="5">
        <f>-PMT(Inputs!$C$2/12, Inputs!$D$2, Inputs!$B$2)</f>
        <v>506.90985721034207</v>
      </c>
      <c r="E11">
        <f>C11 * (Inputs!$C$2/12)</f>
        <v>145.69913260439401</v>
      </c>
      <c r="F11" s="5">
        <f t="shared" si="0"/>
        <v>361.21072460594803</v>
      </c>
      <c r="G11">
        <f t="shared" si="1"/>
        <v>21493.659166053149</v>
      </c>
      <c r="H11" s="5">
        <f t="shared" si="2"/>
        <v>506.90985721034207</v>
      </c>
    </row>
    <row r="12" spans="1:8" x14ac:dyDescent="0.35">
      <c r="A12" t="str">
        <f>Inputs!$A$2</f>
        <v>L1</v>
      </c>
      <c r="B12">
        <v>11</v>
      </c>
      <c r="C12">
        <f t="shared" si="3"/>
        <v>21493.659166053149</v>
      </c>
      <c r="D12" s="5">
        <f>-PMT(Inputs!$C$2/12, Inputs!$D$2, Inputs!$B$2)</f>
        <v>506.90985721034207</v>
      </c>
      <c r="E12">
        <f>C12 * (Inputs!$C$2/12)</f>
        <v>143.29106110702099</v>
      </c>
      <c r="F12" s="5">
        <f t="shared" si="0"/>
        <v>363.61879610332107</v>
      </c>
      <c r="G12">
        <f t="shared" si="1"/>
        <v>21130.040369949827</v>
      </c>
      <c r="H12" s="5">
        <f t="shared" si="2"/>
        <v>506.90985721034207</v>
      </c>
    </row>
    <row r="13" spans="1:8" x14ac:dyDescent="0.35">
      <c r="A13" t="str">
        <f>Inputs!$A$2</f>
        <v>L1</v>
      </c>
      <c r="B13">
        <v>12</v>
      </c>
      <c r="C13">
        <f t="shared" si="3"/>
        <v>21130.040369949827</v>
      </c>
      <c r="D13" s="5">
        <f>-PMT(Inputs!$C$2/12, Inputs!$D$2, Inputs!$B$2)</f>
        <v>506.90985721034207</v>
      </c>
      <c r="E13">
        <f>C13 * (Inputs!$C$2/12)</f>
        <v>140.86693579966553</v>
      </c>
      <c r="F13" s="5">
        <f t="shared" si="0"/>
        <v>366.04292141067651</v>
      </c>
      <c r="G13">
        <f t="shared" si="1"/>
        <v>20763.99744853915</v>
      </c>
      <c r="H13" s="5">
        <f t="shared" si="2"/>
        <v>506.90985721034207</v>
      </c>
    </row>
    <row r="14" spans="1:8" x14ac:dyDescent="0.35">
      <c r="A14" t="str">
        <f>Inputs!$A$2</f>
        <v>L1</v>
      </c>
      <c r="B14">
        <v>13</v>
      </c>
      <c r="C14">
        <f t="shared" si="3"/>
        <v>20763.99744853915</v>
      </c>
      <c r="D14" s="5">
        <f>-PMT(Inputs!$C$2/12, Inputs!$D$2, Inputs!$B$2)</f>
        <v>506.90985721034207</v>
      </c>
      <c r="E14">
        <f>C14 * (Inputs!$C$2/12)</f>
        <v>138.42664965692768</v>
      </c>
      <c r="F14" s="5">
        <f t="shared" si="0"/>
        <v>368.48320755341439</v>
      </c>
      <c r="G14">
        <f t="shared" si="1"/>
        <v>20395.514240985736</v>
      </c>
      <c r="H14" s="5">
        <f t="shared" si="2"/>
        <v>506.90985721034207</v>
      </c>
    </row>
    <row r="15" spans="1:8" x14ac:dyDescent="0.35">
      <c r="A15" t="str">
        <f>Inputs!$A$2</f>
        <v>L1</v>
      </c>
      <c r="B15">
        <v>14</v>
      </c>
      <c r="C15">
        <f t="shared" si="3"/>
        <v>20395.514240985736</v>
      </c>
      <c r="D15" s="5">
        <f>-PMT(Inputs!$C$2/12, Inputs!$D$2, Inputs!$B$2)</f>
        <v>506.90985721034207</v>
      </c>
      <c r="E15">
        <f>C15 * (Inputs!$C$2/12)</f>
        <v>135.97009493990493</v>
      </c>
      <c r="F15" s="5">
        <f t="shared" si="0"/>
        <v>370.93976227043714</v>
      </c>
      <c r="G15">
        <f t="shared" si="1"/>
        <v>20024.574478715298</v>
      </c>
      <c r="H15" s="5">
        <f t="shared" si="2"/>
        <v>506.90985721034207</v>
      </c>
    </row>
    <row r="16" spans="1:8" x14ac:dyDescent="0.35">
      <c r="A16" t="str">
        <f>Inputs!$A$2</f>
        <v>L1</v>
      </c>
      <c r="B16">
        <v>15</v>
      </c>
      <c r="C16">
        <f t="shared" si="3"/>
        <v>20024.574478715298</v>
      </c>
      <c r="D16" s="5">
        <f>-PMT(Inputs!$C$2/12, Inputs!$D$2, Inputs!$B$2)</f>
        <v>506.90985721034207</v>
      </c>
      <c r="E16">
        <f>C16 * (Inputs!$C$2/12)</f>
        <v>133.49716319143533</v>
      </c>
      <c r="F16" s="5">
        <f t="shared" si="0"/>
        <v>373.41269401890673</v>
      </c>
      <c r="G16">
        <f t="shared" si="1"/>
        <v>19651.161784696393</v>
      </c>
      <c r="H16" s="5">
        <f t="shared" si="2"/>
        <v>506.90985721034207</v>
      </c>
    </row>
    <row r="17" spans="1:8" x14ac:dyDescent="0.35">
      <c r="A17" t="str">
        <f>Inputs!$A$2</f>
        <v>L1</v>
      </c>
      <c r="B17">
        <v>16</v>
      </c>
      <c r="C17">
        <f t="shared" si="3"/>
        <v>19651.161784696393</v>
      </c>
      <c r="D17" s="5">
        <f>-PMT(Inputs!$C$2/12, Inputs!$D$2, Inputs!$B$2)</f>
        <v>506.90985721034207</v>
      </c>
      <c r="E17">
        <f>C17 * (Inputs!$C$2/12)</f>
        <v>131.00774523130929</v>
      </c>
      <c r="F17" s="5">
        <f t="shared" si="0"/>
        <v>375.90211197903278</v>
      </c>
      <c r="G17">
        <f t="shared" si="1"/>
        <v>19275.259672717359</v>
      </c>
      <c r="H17" s="5">
        <f t="shared" si="2"/>
        <v>506.90985721034207</v>
      </c>
    </row>
    <row r="18" spans="1:8" x14ac:dyDescent="0.35">
      <c r="A18" t="str">
        <f>Inputs!$A$2</f>
        <v>L1</v>
      </c>
      <c r="B18">
        <v>17</v>
      </c>
      <c r="C18">
        <f t="shared" si="3"/>
        <v>19275.259672717359</v>
      </c>
      <c r="D18" s="5">
        <f>-PMT(Inputs!$C$2/12, Inputs!$D$2, Inputs!$B$2)</f>
        <v>506.90985721034207</v>
      </c>
      <c r="E18">
        <f>C18 * (Inputs!$C$2/12)</f>
        <v>128.50173115144906</v>
      </c>
      <c r="F18" s="5">
        <f t="shared" si="0"/>
        <v>378.408126058893</v>
      </c>
      <c r="G18">
        <f t="shared" si="1"/>
        <v>18896.851546658465</v>
      </c>
      <c r="H18" s="5">
        <f t="shared" si="2"/>
        <v>506.90985721034207</v>
      </c>
    </row>
    <row r="19" spans="1:8" x14ac:dyDescent="0.35">
      <c r="A19" t="str">
        <f>Inputs!$A$2</f>
        <v>L1</v>
      </c>
      <c r="B19">
        <v>18</v>
      </c>
      <c r="C19">
        <f t="shared" si="3"/>
        <v>18896.851546658465</v>
      </c>
      <c r="D19" s="5">
        <f>-PMT(Inputs!$C$2/12, Inputs!$D$2, Inputs!$B$2)</f>
        <v>506.90985721034207</v>
      </c>
      <c r="E19">
        <f>C19 * (Inputs!$C$2/12)</f>
        <v>125.97901031105644</v>
      </c>
      <c r="F19" s="5">
        <f t="shared" si="0"/>
        <v>380.9308468992856</v>
      </c>
      <c r="G19">
        <f t="shared" si="1"/>
        <v>18515.920699759179</v>
      </c>
      <c r="H19" s="5">
        <f t="shared" si="2"/>
        <v>506.90985721034207</v>
      </c>
    </row>
    <row r="20" spans="1:8" x14ac:dyDescent="0.35">
      <c r="A20" t="str">
        <f>Inputs!$A$2</f>
        <v>L1</v>
      </c>
      <c r="B20">
        <v>19</v>
      </c>
      <c r="C20">
        <f t="shared" si="3"/>
        <v>18515.920699759179</v>
      </c>
      <c r="D20" s="5">
        <f>-PMT(Inputs!$C$2/12, Inputs!$D$2, Inputs!$B$2)</f>
        <v>506.90985721034207</v>
      </c>
      <c r="E20">
        <f>C20 * (Inputs!$C$2/12)</f>
        <v>123.43947133172787</v>
      </c>
      <c r="F20" s="5">
        <f t="shared" si="0"/>
        <v>383.4703858786142</v>
      </c>
      <c r="G20">
        <f t="shared" si="1"/>
        <v>18132.450313880567</v>
      </c>
      <c r="H20" s="5">
        <f t="shared" si="2"/>
        <v>506.90985721034207</v>
      </c>
    </row>
    <row r="21" spans="1:8" x14ac:dyDescent="0.35">
      <c r="A21" t="str">
        <f>Inputs!$A$2</f>
        <v>L1</v>
      </c>
      <c r="B21">
        <v>20</v>
      </c>
      <c r="C21">
        <f t="shared" si="3"/>
        <v>18132.450313880567</v>
      </c>
      <c r="D21" s="5">
        <f>-PMT(Inputs!$C$2/12, Inputs!$D$2, Inputs!$B$2)</f>
        <v>506.90985721034207</v>
      </c>
      <c r="E21">
        <f>C21 * (Inputs!$C$2/12)</f>
        <v>120.88300209253713</v>
      </c>
      <c r="F21" s="5">
        <f t="shared" si="0"/>
        <v>386.02685511780493</v>
      </c>
      <c r="G21">
        <f t="shared" si="1"/>
        <v>17746.423458762762</v>
      </c>
      <c r="H21" s="5">
        <f t="shared" si="2"/>
        <v>506.90985721034207</v>
      </c>
    </row>
    <row r="22" spans="1:8" x14ac:dyDescent="0.35">
      <c r="A22" t="str">
        <f>Inputs!$A$2</f>
        <v>L1</v>
      </c>
      <c r="B22">
        <v>21</v>
      </c>
      <c r="C22">
        <f t="shared" si="3"/>
        <v>17746.423458762762</v>
      </c>
      <c r="D22" s="5">
        <f>-PMT(Inputs!$C$2/12, Inputs!$D$2, Inputs!$B$2)</f>
        <v>506.90985721034207</v>
      </c>
      <c r="E22">
        <f>C22 * (Inputs!$C$2/12)</f>
        <v>118.30948972508509</v>
      </c>
      <c r="F22" s="5">
        <f t="shared" si="0"/>
        <v>388.60036748525698</v>
      </c>
      <c r="G22">
        <f t="shared" si="1"/>
        <v>17357.823091277503</v>
      </c>
      <c r="H22" s="5">
        <f t="shared" si="2"/>
        <v>506.90985721034207</v>
      </c>
    </row>
    <row r="23" spans="1:8" x14ac:dyDescent="0.35">
      <c r="A23" t="str">
        <f>Inputs!$A$2</f>
        <v>L1</v>
      </c>
      <c r="B23">
        <v>22</v>
      </c>
      <c r="C23">
        <f t="shared" si="3"/>
        <v>17357.823091277503</v>
      </c>
      <c r="D23" s="5">
        <f>-PMT(Inputs!$C$2/12, Inputs!$D$2, Inputs!$B$2)</f>
        <v>506.90985721034207</v>
      </c>
      <c r="E23">
        <f>C23 * (Inputs!$C$2/12)</f>
        <v>115.71882060851669</v>
      </c>
      <c r="F23" s="5">
        <f t="shared" si="0"/>
        <v>391.19103660182537</v>
      </c>
      <c r="G23">
        <f t="shared" si="1"/>
        <v>16966.63205467568</v>
      </c>
      <c r="H23" s="5">
        <f t="shared" si="2"/>
        <v>506.90985721034207</v>
      </c>
    </row>
    <row r="24" spans="1:8" x14ac:dyDescent="0.35">
      <c r="A24" t="str">
        <f>Inputs!$A$2</f>
        <v>L1</v>
      </c>
      <c r="B24">
        <v>23</v>
      </c>
      <c r="C24">
        <f t="shared" si="3"/>
        <v>16966.63205467568</v>
      </c>
      <c r="D24" s="5">
        <f>-PMT(Inputs!$C$2/12, Inputs!$D$2, Inputs!$B$2)</f>
        <v>506.90985721034207</v>
      </c>
      <c r="E24">
        <f>C24 * (Inputs!$C$2/12)</f>
        <v>113.11088036450454</v>
      </c>
      <c r="F24" s="5">
        <f t="shared" si="0"/>
        <v>393.7989768458375</v>
      </c>
      <c r="G24">
        <f t="shared" si="1"/>
        <v>16572.83307782984</v>
      </c>
      <c r="H24" s="5">
        <f t="shared" si="2"/>
        <v>506.90985721034207</v>
      </c>
    </row>
    <row r="25" spans="1:8" x14ac:dyDescent="0.35">
      <c r="A25" t="str">
        <f>Inputs!$A$2</f>
        <v>L1</v>
      </c>
      <c r="B25">
        <v>24</v>
      </c>
      <c r="C25">
        <f t="shared" si="3"/>
        <v>16572.83307782984</v>
      </c>
      <c r="D25" s="5">
        <f>-PMT(Inputs!$C$2/12, Inputs!$D$2, Inputs!$B$2)</f>
        <v>506.90985721034207</v>
      </c>
      <c r="E25">
        <f>C25 * (Inputs!$C$2/12)</f>
        <v>110.48555385219895</v>
      </c>
      <c r="F25" s="5">
        <f t="shared" si="0"/>
        <v>396.42430335814311</v>
      </c>
      <c r="G25">
        <f t="shared" si="1"/>
        <v>16176.408774471698</v>
      </c>
      <c r="H25" s="5">
        <f t="shared" si="2"/>
        <v>506.90985721034207</v>
      </c>
    </row>
    <row r="26" spans="1:8" x14ac:dyDescent="0.35">
      <c r="A26" t="str">
        <f>Inputs!$A$2</f>
        <v>L1</v>
      </c>
      <c r="B26">
        <v>25</v>
      </c>
      <c r="C26">
        <f t="shared" si="3"/>
        <v>16176.408774471698</v>
      </c>
      <c r="D26" s="5">
        <f>-PMT(Inputs!$C$2/12, Inputs!$D$2, Inputs!$B$2)</f>
        <v>506.90985721034207</v>
      </c>
      <c r="E26">
        <f>C26 * (Inputs!$C$2/12)</f>
        <v>107.84272516314466</v>
      </c>
      <c r="F26" s="5">
        <f t="shared" si="0"/>
        <v>399.06713204719739</v>
      </c>
      <c r="G26">
        <f t="shared" si="1"/>
        <v>15777.341642424501</v>
      </c>
      <c r="H26" s="5">
        <f t="shared" si="2"/>
        <v>506.90985721034207</v>
      </c>
    </row>
    <row r="27" spans="1:8" x14ac:dyDescent="0.35">
      <c r="A27" t="str">
        <f>Inputs!$A$2</f>
        <v>L1</v>
      </c>
      <c r="B27">
        <v>26</v>
      </c>
      <c r="C27">
        <f t="shared" si="3"/>
        <v>15777.341642424501</v>
      </c>
      <c r="D27" s="5">
        <f>-PMT(Inputs!$C$2/12, Inputs!$D$2, Inputs!$B$2)</f>
        <v>506.90985721034207</v>
      </c>
      <c r="E27">
        <f>C27 * (Inputs!$C$2/12)</f>
        <v>105.18227761616335</v>
      </c>
      <c r="F27" s="5">
        <f t="shared" si="0"/>
        <v>401.72757959417874</v>
      </c>
      <c r="G27">
        <f t="shared" si="1"/>
        <v>15375.614062830322</v>
      </c>
      <c r="H27" s="5">
        <f t="shared" si="2"/>
        <v>506.90985721034207</v>
      </c>
    </row>
    <row r="28" spans="1:8" x14ac:dyDescent="0.35">
      <c r="A28" t="str">
        <f>Inputs!$A$2</f>
        <v>L1</v>
      </c>
      <c r="B28">
        <v>27</v>
      </c>
      <c r="C28">
        <f t="shared" si="3"/>
        <v>15375.614062830322</v>
      </c>
      <c r="D28" s="5">
        <f>-PMT(Inputs!$C$2/12, Inputs!$D$2, Inputs!$B$2)</f>
        <v>506.90985721034207</v>
      </c>
      <c r="E28">
        <f>C28 * (Inputs!$C$2/12)</f>
        <v>102.50409375220215</v>
      </c>
      <c r="F28" s="5">
        <f t="shared" si="0"/>
        <v>404.40576345813992</v>
      </c>
      <c r="G28">
        <f t="shared" si="1"/>
        <v>14971.208299372182</v>
      </c>
      <c r="H28" s="5">
        <f t="shared" si="2"/>
        <v>506.90985721034207</v>
      </c>
    </row>
    <row r="29" spans="1:8" x14ac:dyDescent="0.35">
      <c r="A29" t="str">
        <f>Inputs!$A$2</f>
        <v>L1</v>
      </c>
      <c r="B29">
        <v>28</v>
      </c>
      <c r="C29">
        <f t="shared" si="3"/>
        <v>14971.208299372182</v>
      </c>
      <c r="D29" s="5">
        <f>-PMT(Inputs!$C$2/12, Inputs!$D$2, Inputs!$B$2)</f>
        <v>506.90985721034207</v>
      </c>
      <c r="E29">
        <f>C29 * (Inputs!$C$2/12)</f>
        <v>99.808055329147876</v>
      </c>
      <c r="F29" s="5">
        <f t="shared" si="0"/>
        <v>407.10180188119421</v>
      </c>
      <c r="G29">
        <f t="shared" si="1"/>
        <v>14564.106497490988</v>
      </c>
      <c r="H29" s="5">
        <f t="shared" si="2"/>
        <v>506.90985721034207</v>
      </c>
    </row>
    <row r="30" spans="1:8" x14ac:dyDescent="0.35">
      <c r="A30" t="str">
        <f>Inputs!$A$2</f>
        <v>L1</v>
      </c>
      <c r="B30">
        <v>29</v>
      </c>
      <c r="C30">
        <f t="shared" si="3"/>
        <v>14564.106497490988</v>
      </c>
      <c r="D30" s="5">
        <f>-PMT(Inputs!$C$2/12, Inputs!$D$2, Inputs!$B$2)</f>
        <v>506.90985721034207</v>
      </c>
      <c r="E30">
        <f>C30 * (Inputs!$C$2/12)</f>
        <v>97.094043316606587</v>
      </c>
      <c r="F30" s="5">
        <f t="shared" si="0"/>
        <v>409.81581389373548</v>
      </c>
      <c r="G30">
        <f t="shared" si="1"/>
        <v>14154.290683597252</v>
      </c>
      <c r="H30" s="5">
        <f t="shared" si="2"/>
        <v>506.90985721034207</v>
      </c>
    </row>
    <row r="31" spans="1:8" x14ac:dyDescent="0.35">
      <c r="A31" t="str">
        <f>Inputs!$A$2</f>
        <v>L1</v>
      </c>
      <c r="B31">
        <v>30</v>
      </c>
      <c r="C31">
        <f t="shared" si="3"/>
        <v>14154.290683597252</v>
      </c>
      <c r="D31" s="5">
        <f>-PMT(Inputs!$C$2/12, Inputs!$D$2, Inputs!$B$2)</f>
        <v>506.90985721034207</v>
      </c>
      <c r="E31">
        <f>C31 * (Inputs!$C$2/12)</f>
        <v>94.361937890648349</v>
      </c>
      <c r="F31" s="5">
        <f t="shared" si="0"/>
        <v>412.54791931969373</v>
      </c>
      <c r="G31">
        <f t="shared" si="1"/>
        <v>13741.742764277558</v>
      </c>
      <c r="H31" s="5">
        <f t="shared" si="2"/>
        <v>506.90985721034207</v>
      </c>
    </row>
    <row r="32" spans="1:8" x14ac:dyDescent="0.35">
      <c r="A32" t="str">
        <f>Inputs!$A$2</f>
        <v>L1</v>
      </c>
      <c r="B32">
        <v>31</v>
      </c>
      <c r="C32">
        <f t="shared" si="3"/>
        <v>13741.742764277558</v>
      </c>
      <c r="D32" s="5">
        <f>-PMT(Inputs!$C$2/12, Inputs!$D$2, Inputs!$B$2)</f>
        <v>506.90985721034207</v>
      </c>
      <c r="E32">
        <f>C32 * (Inputs!$C$2/12)</f>
        <v>91.611618428517062</v>
      </c>
      <c r="F32" s="5">
        <f t="shared" si="0"/>
        <v>415.29823878182503</v>
      </c>
      <c r="G32">
        <f t="shared" si="1"/>
        <v>13326.444525495734</v>
      </c>
      <c r="H32" s="5">
        <f t="shared" si="2"/>
        <v>506.90985721034207</v>
      </c>
    </row>
    <row r="33" spans="1:8" x14ac:dyDescent="0.35">
      <c r="A33" t="str">
        <f>Inputs!$A$2</f>
        <v>L1</v>
      </c>
      <c r="B33">
        <v>32</v>
      </c>
      <c r="C33">
        <f t="shared" si="3"/>
        <v>13326.444525495734</v>
      </c>
      <c r="D33" s="5">
        <f>-PMT(Inputs!$C$2/12, Inputs!$D$2, Inputs!$B$2)</f>
        <v>506.90985721034207</v>
      </c>
      <c r="E33">
        <f>C33 * (Inputs!$C$2/12)</f>
        <v>88.842963503304901</v>
      </c>
      <c r="F33" s="5">
        <f t="shared" si="0"/>
        <v>418.06689370703714</v>
      </c>
      <c r="G33">
        <f t="shared" si="1"/>
        <v>12908.377631788697</v>
      </c>
      <c r="H33" s="5">
        <f t="shared" si="2"/>
        <v>506.90985721034207</v>
      </c>
    </row>
    <row r="34" spans="1:8" x14ac:dyDescent="0.35">
      <c r="A34" t="str">
        <f>Inputs!$A$2</f>
        <v>L1</v>
      </c>
      <c r="B34">
        <v>33</v>
      </c>
      <c r="C34">
        <f t="shared" si="3"/>
        <v>12908.377631788697</v>
      </c>
      <c r="D34" s="5">
        <f>-PMT(Inputs!$C$2/12, Inputs!$D$2, Inputs!$B$2)</f>
        <v>506.90985721034207</v>
      </c>
      <c r="E34">
        <f>C34 * (Inputs!$C$2/12)</f>
        <v>86.055850878591315</v>
      </c>
      <c r="F34" s="5">
        <f t="shared" si="0"/>
        <v>420.85400633175072</v>
      </c>
      <c r="G34">
        <f t="shared" ref="G34:G60" si="4">C34 - F34</f>
        <v>12487.523625456946</v>
      </c>
      <c r="H34" s="5">
        <f t="shared" si="2"/>
        <v>506.90985721034207</v>
      </c>
    </row>
    <row r="35" spans="1:8" x14ac:dyDescent="0.35">
      <c r="A35" t="str">
        <f>Inputs!$A$2</f>
        <v>L1</v>
      </c>
      <c r="B35">
        <v>34</v>
      </c>
      <c r="C35">
        <f t="shared" ref="C35:C61" si="5">G34</f>
        <v>12487.523625456946</v>
      </c>
      <c r="D35" s="5">
        <f>-PMT(Inputs!$C$2/12, Inputs!$D$2, Inputs!$B$2)</f>
        <v>506.90985721034207</v>
      </c>
      <c r="E35">
        <f>C35 * (Inputs!$C$2/12)</f>
        <v>83.25015750304631</v>
      </c>
      <c r="F35" s="5">
        <f t="shared" si="0"/>
        <v>423.65969970729577</v>
      </c>
      <c r="G35">
        <f t="shared" si="4"/>
        <v>12063.863925749651</v>
      </c>
      <c r="H35" s="5">
        <f t="shared" si="2"/>
        <v>506.90985721034207</v>
      </c>
    </row>
    <row r="36" spans="1:8" x14ac:dyDescent="0.35">
      <c r="A36" t="str">
        <f>Inputs!$A$2</f>
        <v>L1</v>
      </c>
      <c r="B36">
        <v>35</v>
      </c>
      <c r="C36">
        <f t="shared" si="5"/>
        <v>12063.863925749651</v>
      </c>
      <c r="D36" s="5">
        <f>-PMT(Inputs!$C$2/12, Inputs!$D$2, Inputs!$B$2)</f>
        <v>506.90985721034207</v>
      </c>
      <c r="E36">
        <f>C36 * (Inputs!$C$2/12)</f>
        <v>80.425759504997671</v>
      </c>
      <c r="F36" s="5">
        <f t="shared" si="0"/>
        <v>426.48409770534442</v>
      </c>
      <c r="G36">
        <f t="shared" si="4"/>
        <v>11637.379828044306</v>
      </c>
      <c r="H36" s="5">
        <f t="shared" si="2"/>
        <v>506.90985721034207</v>
      </c>
    </row>
    <row r="37" spans="1:8" x14ac:dyDescent="0.35">
      <c r="A37" t="str">
        <f>Inputs!$A$2</f>
        <v>L1</v>
      </c>
      <c r="B37">
        <v>36</v>
      </c>
      <c r="C37">
        <f t="shared" si="5"/>
        <v>11637.379828044306</v>
      </c>
      <c r="D37" s="5">
        <f>-PMT(Inputs!$C$2/12, Inputs!$D$2, Inputs!$B$2)</f>
        <v>506.90985721034207</v>
      </c>
      <c r="E37">
        <f>C37 * (Inputs!$C$2/12)</f>
        <v>77.582532186962041</v>
      </c>
      <c r="F37" s="5">
        <f t="shared" si="0"/>
        <v>429.32732502338001</v>
      </c>
      <c r="G37">
        <f t="shared" si="4"/>
        <v>11208.052503020926</v>
      </c>
      <c r="H37" s="5">
        <f t="shared" si="2"/>
        <v>506.90985721034207</v>
      </c>
    </row>
    <row r="38" spans="1:8" x14ac:dyDescent="0.35">
      <c r="A38" t="str">
        <f>Inputs!$A$2</f>
        <v>L1</v>
      </c>
      <c r="B38">
        <v>37</v>
      </c>
      <c r="C38">
        <f t="shared" si="5"/>
        <v>11208.052503020926</v>
      </c>
      <c r="D38" s="5">
        <f>-PMT(Inputs!$C$2/12, Inputs!$D$2, Inputs!$B$2)</f>
        <v>506.90985721034207</v>
      </c>
      <c r="E38">
        <f>C38 * (Inputs!$C$2/12)</f>
        <v>74.72035002013952</v>
      </c>
      <c r="F38" s="5">
        <f t="shared" si="0"/>
        <v>432.18950719020256</v>
      </c>
      <c r="G38">
        <f t="shared" si="4"/>
        <v>10775.862995830725</v>
      </c>
      <c r="H38" s="5">
        <f t="shared" si="2"/>
        <v>506.90985721034207</v>
      </c>
    </row>
    <row r="39" spans="1:8" x14ac:dyDescent="0.35">
      <c r="A39" t="str">
        <f>Inputs!$A$2</f>
        <v>L1</v>
      </c>
      <c r="B39">
        <v>38</v>
      </c>
      <c r="C39">
        <f t="shared" si="5"/>
        <v>10775.862995830725</v>
      </c>
      <c r="D39" s="5">
        <f>-PMT(Inputs!$C$2/12, Inputs!$D$2, Inputs!$B$2)</f>
        <v>506.90985721034207</v>
      </c>
      <c r="E39">
        <f>C39 * (Inputs!$C$2/12)</f>
        <v>71.839086638871507</v>
      </c>
      <c r="F39" s="5">
        <f t="shared" si="0"/>
        <v>435.07077057147058</v>
      </c>
      <c r="G39">
        <f t="shared" si="4"/>
        <v>10340.792225259254</v>
      </c>
      <c r="H39" s="5">
        <f t="shared" si="2"/>
        <v>506.90985721034207</v>
      </c>
    </row>
    <row r="40" spans="1:8" x14ac:dyDescent="0.35">
      <c r="A40" t="str">
        <f>Inputs!$A$2</f>
        <v>L1</v>
      </c>
      <c r="B40">
        <v>39</v>
      </c>
      <c r="C40">
        <f t="shared" si="5"/>
        <v>10340.792225259254</v>
      </c>
      <c r="D40" s="5">
        <f>-PMT(Inputs!$C$2/12, Inputs!$D$2, Inputs!$B$2)</f>
        <v>506.90985721034207</v>
      </c>
      <c r="E40">
        <f>C40 * (Inputs!$C$2/12)</f>
        <v>68.938614835061699</v>
      </c>
      <c r="F40" s="5">
        <f t="shared" si="0"/>
        <v>437.97124237528038</v>
      </c>
      <c r="G40">
        <f t="shared" si="4"/>
        <v>9902.8209828839736</v>
      </c>
      <c r="H40" s="5">
        <f t="shared" si="2"/>
        <v>506.90985721034207</v>
      </c>
    </row>
    <row r="41" spans="1:8" x14ac:dyDescent="0.35">
      <c r="A41" t="str">
        <f>Inputs!$A$2</f>
        <v>L1</v>
      </c>
      <c r="B41">
        <v>40</v>
      </c>
      <c r="C41">
        <f t="shared" si="5"/>
        <v>9902.8209828839736</v>
      </c>
      <c r="D41" s="5">
        <f>-PMT(Inputs!$C$2/12, Inputs!$D$2, Inputs!$B$2)</f>
        <v>506.90985721034207</v>
      </c>
      <c r="E41">
        <f>C41 * (Inputs!$C$2/12)</f>
        <v>66.018806552559823</v>
      </c>
      <c r="F41" s="5">
        <f t="shared" si="0"/>
        <v>440.89105065778222</v>
      </c>
      <c r="G41">
        <f t="shared" si="4"/>
        <v>9461.9299322261904</v>
      </c>
      <c r="H41" s="5">
        <f t="shared" si="2"/>
        <v>506.90985721034207</v>
      </c>
    </row>
    <row r="42" spans="1:8" x14ac:dyDescent="0.35">
      <c r="A42" t="str">
        <f>Inputs!$A$2</f>
        <v>L1</v>
      </c>
      <c r="B42">
        <v>41</v>
      </c>
      <c r="C42">
        <f t="shared" si="5"/>
        <v>9461.9299322261904</v>
      </c>
      <c r="D42" s="5">
        <f>-PMT(Inputs!$C$2/12, Inputs!$D$2, Inputs!$B$2)</f>
        <v>506.90985721034207</v>
      </c>
      <c r="E42">
        <f>C42 * (Inputs!$C$2/12)</f>
        <v>63.079532881507937</v>
      </c>
      <c r="F42" s="5">
        <f t="shared" si="0"/>
        <v>443.83032432883414</v>
      </c>
      <c r="G42">
        <f t="shared" si="4"/>
        <v>9018.0996078973567</v>
      </c>
      <c r="H42" s="5">
        <f t="shared" si="2"/>
        <v>506.90985721034207</v>
      </c>
    </row>
    <row r="43" spans="1:8" x14ac:dyDescent="0.35">
      <c r="A43" t="str">
        <f>Inputs!$A$2</f>
        <v>L1</v>
      </c>
      <c r="B43">
        <v>42</v>
      </c>
      <c r="C43">
        <f t="shared" si="5"/>
        <v>9018.0996078973567</v>
      </c>
      <c r="D43" s="5">
        <f>-PMT(Inputs!$C$2/12, Inputs!$D$2, Inputs!$B$2)</f>
        <v>506.90985721034207</v>
      </c>
      <c r="E43">
        <f>C43 * (Inputs!$C$2/12)</f>
        <v>60.120664052649047</v>
      </c>
      <c r="F43" s="5">
        <f t="shared" si="0"/>
        <v>446.78919315769303</v>
      </c>
      <c r="G43">
        <f t="shared" si="4"/>
        <v>8571.3104147396643</v>
      </c>
      <c r="H43" s="5">
        <f t="shared" si="2"/>
        <v>506.90985721034207</v>
      </c>
    </row>
    <row r="44" spans="1:8" x14ac:dyDescent="0.35">
      <c r="A44" t="str">
        <f>Inputs!$A$2</f>
        <v>L1</v>
      </c>
      <c r="B44">
        <v>43</v>
      </c>
      <c r="C44">
        <f t="shared" si="5"/>
        <v>8571.3104147396643</v>
      </c>
      <c r="D44" s="5">
        <f>-PMT(Inputs!$C$2/12, Inputs!$D$2, Inputs!$B$2)</f>
        <v>506.90985721034207</v>
      </c>
      <c r="E44">
        <f>C44 * (Inputs!$C$2/12)</f>
        <v>57.142069431597768</v>
      </c>
      <c r="F44" s="5">
        <f t="shared" si="0"/>
        <v>449.76778777874432</v>
      </c>
      <c r="G44">
        <f t="shared" si="4"/>
        <v>8121.5426269609197</v>
      </c>
      <c r="H44" s="5">
        <f t="shared" si="2"/>
        <v>506.90985721034207</v>
      </c>
    </row>
    <row r="45" spans="1:8" x14ac:dyDescent="0.35">
      <c r="A45" t="str">
        <f>Inputs!$A$2</f>
        <v>L1</v>
      </c>
      <c r="B45">
        <v>44</v>
      </c>
      <c r="C45">
        <f t="shared" si="5"/>
        <v>8121.5426269609197</v>
      </c>
      <c r="D45" s="5">
        <f>-PMT(Inputs!$C$2/12, Inputs!$D$2, Inputs!$B$2)</f>
        <v>506.90985721034207</v>
      </c>
      <c r="E45">
        <f>C45 * (Inputs!$C$2/12)</f>
        <v>54.143617513072805</v>
      </c>
      <c r="F45" s="5">
        <f t="shared" si="0"/>
        <v>452.76623969726927</v>
      </c>
      <c r="G45">
        <f t="shared" si="4"/>
        <v>7668.7763872636506</v>
      </c>
      <c r="H45" s="5">
        <f t="shared" si="2"/>
        <v>506.90985721034207</v>
      </c>
    </row>
    <row r="46" spans="1:8" x14ac:dyDescent="0.35">
      <c r="A46" t="str">
        <f>Inputs!$A$2</f>
        <v>L1</v>
      </c>
      <c r="B46">
        <v>45</v>
      </c>
      <c r="C46">
        <f t="shared" si="5"/>
        <v>7668.7763872636506</v>
      </c>
      <c r="D46" s="5">
        <f>-PMT(Inputs!$C$2/12, Inputs!$D$2, Inputs!$B$2)</f>
        <v>506.90985721034207</v>
      </c>
      <c r="E46">
        <f>C46 * (Inputs!$C$2/12)</f>
        <v>51.125175915091006</v>
      </c>
      <c r="F46" s="5">
        <f t="shared" si="0"/>
        <v>455.78468129525106</v>
      </c>
      <c r="G46">
        <f t="shared" si="4"/>
        <v>7212.9917059683994</v>
      </c>
      <c r="H46" s="5">
        <f t="shared" si="2"/>
        <v>506.90985721034207</v>
      </c>
    </row>
    <row r="47" spans="1:8" x14ac:dyDescent="0.35">
      <c r="A47" t="str">
        <f>Inputs!$A$2</f>
        <v>L1</v>
      </c>
      <c r="B47">
        <v>46</v>
      </c>
      <c r="C47">
        <f t="shared" si="5"/>
        <v>7212.9917059683994</v>
      </c>
      <c r="D47" s="5">
        <f>-PMT(Inputs!$C$2/12, Inputs!$D$2, Inputs!$B$2)</f>
        <v>506.90985721034207</v>
      </c>
      <c r="E47">
        <f>C47 * (Inputs!$C$2/12)</f>
        <v>48.086611373122665</v>
      </c>
      <c r="F47" s="5">
        <f t="shared" si="0"/>
        <v>458.82324583721942</v>
      </c>
      <c r="G47">
        <f t="shared" si="4"/>
        <v>6754.1684601311799</v>
      </c>
      <c r="H47" s="5">
        <f t="shared" si="2"/>
        <v>506.90985721034207</v>
      </c>
    </row>
    <row r="48" spans="1:8" x14ac:dyDescent="0.35">
      <c r="A48" t="str">
        <f>Inputs!$A$2</f>
        <v>L1</v>
      </c>
      <c r="B48">
        <v>47</v>
      </c>
      <c r="C48">
        <f t="shared" si="5"/>
        <v>6754.1684601311799</v>
      </c>
      <c r="D48" s="5">
        <f>-PMT(Inputs!$C$2/12, Inputs!$D$2, Inputs!$B$2)</f>
        <v>506.90985721034207</v>
      </c>
      <c r="E48">
        <f>C48 * (Inputs!$C$2/12)</f>
        <v>45.027789734207872</v>
      </c>
      <c r="F48" s="5">
        <f t="shared" si="0"/>
        <v>461.88206747613418</v>
      </c>
      <c r="G48">
        <f t="shared" si="4"/>
        <v>6292.2863926550453</v>
      </c>
      <c r="H48" s="5">
        <f t="shared" si="2"/>
        <v>506.90985721034207</v>
      </c>
    </row>
    <row r="49" spans="1:8" x14ac:dyDescent="0.35">
      <c r="A49" t="str">
        <f>Inputs!$A$2</f>
        <v>L1</v>
      </c>
      <c r="B49">
        <v>48</v>
      </c>
      <c r="C49">
        <f t="shared" si="5"/>
        <v>6292.2863926550453</v>
      </c>
      <c r="D49" s="5">
        <f>-PMT(Inputs!$C$2/12, Inputs!$D$2, Inputs!$B$2)</f>
        <v>506.90985721034207</v>
      </c>
      <c r="E49">
        <f>C49 * (Inputs!$C$2/12)</f>
        <v>41.948575951033639</v>
      </c>
      <c r="F49" s="5">
        <f t="shared" si="0"/>
        <v>464.96128125930841</v>
      </c>
      <c r="G49">
        <f t="shared" si="4"/>
        <v>5827.3251113957367</v>
      </c>
      <c r="H49" s="5">
        <f t="shared" si="2"/>
        <v>506.90985721034207</v>
      </c>
    </row>
    <row r="50" spans="1:8" x14ac:dyDescent="0.35">
      <c r="A50" t="str">
        <f>Inputs!$A$2</f>
        <v>L1</v>
      </c>
      <c r="B50">
        <v>49</v>
      </c>
      <c r="C50">
        <f t="shared" si="5"/>
        <v>5827.3251113957367</v>
      </c>
      <c r="D50" s="5">
        <f>-PMT(Inputs!$C$2/12, Inputs!$D$2, Inputs!$B$2)</f>
        <v>506.90985721034207</v>
      </c>
      <c r="E50">
        <f>C50 * (Inputs!$C$2/12)</f>
        <v>38.848834075971581</v>
      </c>
      <c r="F50" s="5">
        <f t="shared" si="0"/>
        <v>468.06102313437049</v>
      </c>
      <c r="G50">
        <f t="shared" si="4"/>
        <v>5359.2640882613659</v>
      </c>
      <c r="H50" s="5">
        <f t="shared" si="2"/>
        <v>506.90985721034207</v>
      </c>
    </row>
    <row r="51" spans="1:8" x14ac:dyDescent="0.35">
      <c r="A51" t="str">
        <f>Inputs!$A$2</f>
        <v>L1</v>
      </c>
      <c r="B51">
        <v>50</v>
      </c>
      <c r="C51">
        <f t="shared" si="5"/>
        <v>5359.2640882613659</v>
      </c>
      <c r="D51" s="5">
        <f>-PMT(Inputs!$C$2/12, Inputs!$D$2, Inputs!$B$2)</f>
        <v>506.90985721034207</v>
      </c>
      <c r="E51">
        <f>C51 * (Inputs!$C$2/12)</f>
        <v>35.728427255075772</v>
      </c>
      <c r="F51" s="5">
        <f t="shared" si="0"/>
        <v>471.18142995526631</v>
      </c>
      <c r="G51">
        <f t="shared" si="4"/>
        <v>4888.0826583060998</v>
      </c>
      <c r="H51" s="5">
        <f t="shared" si="2"/>
        <v>506.90985721034207</v>
      </c>
    </row>
    <row r="52" spans="1:8" x14ac:dyDescent="0.35">
      <c r="A52" t="str">
        <f>Inputs!$A$2</f>
        <v>L1</v>
      </c>
      <c r="B52">
        <v>51</v>
      </c>
      <c r="C52">
        <f t="shared" si="5"/>
        <v>4888.0826583060998</v>
      </c>
      <c r="D52" s="5">
        <f>-PMT(Inputs!$C$2/12, Inputs!$D$2, Inputs!$B$2)</f>
        <v>506.90985721034207</v>
      </c>
      <c r="E52">
        <f>C52 * (Inputs!$C$2/12)</f>
        <v>32.58721772204067</v>
      </c>
      <c r="F52" s="5">
        <f t="shared" si="0"/>
        <v>474.32263948830138</v>
      </c>
      <c r="G52">
        <f t="shared" si="4"/>
        <v>4413.7600188177985</v>
      </c>
      <c r="H52" s="5">
        <f t="shared" si="2"/>
        <v>506.90985721034207</v>
      </c>
    </row>
    <row r="53" spans="1:8" x14ac:dyDescent="0.35">
      <c r="A53" t="str">
        <f>Inputs!$A$2</f>
        <v>L1</v>
      </c>
      <c r="B53">
        <v>52</v>
      </c>
      <c r="C53">
        <f t="shared" si="5"/>
        <v>4413.7600188177985</v>
      </c>
      <c r="D53" s="5">
        <f>-PMT(Inputs!$C$2/12, Inputs!$D$2, Inputs!$B$2)</f>
        <v>506.90985721034207</v>
      </c>
      <c r="E53">
        <f>C53 * (Inputs!$C$2/12)</f>
        <v>29.42506679211866</v>
      </c>
      <c r="F53" s="5">
        <f t="shared" si="0"/>
        <v>477.48479041822338</v>
      </c>
      <c r="G53">
        <f t="shared" si="4"/>
        <v>3936.2752283995751</v>
      </c>
      <c r="H53" s="5">
        <f t="shared" si="2"/>
        <v>506.90985721034207</v>
      </c>
    </row>
    <row r="54" spans="1:8" x14ac:dyDescent="0.35">
      <c r="A54" t="str">
        <f>Inputs!$A$2</f>
        <v>L1</v>
      </c>
      <c r="B54">
        <v>53</v>
      </c>
      <c r="C54">
        <f t="shared" si="5"/>
        <v>3936.2752283995751</v>
      </c>
      <c r="D54" s="5">
        <f>-PMT(Inputs!$C$2/12, Inputs!$D$2, Inputs!$B$2)</f>
        <v>506.90985721034207</v>
      </c>
      <c r="E54">
        <f>C54 * (Inputs!$C$2/12)</f>
        <v>26.241834855997169</v>
      </c>
      <c r="F54" s="5">
        <f t="shared" si="0"/>
        <v>480.66802235434488</v>
      </c>
      <c r="G54">
        <f t="shared" si="4"/>
        <v>3455.6072060452302</v>
      </c>
      <c r="H54" s="5">
        <f t="shared" si="2"/>
        <v>506.90985721034207</v>
      </c>
    </row>
    <row r="55" spans="1:8" x14ac:dyDescent="0.35">
      <c r="A55" t="str">
        <f>Inputs!$A$2</f>
        <v>L1</v>
      </c>
      <c r="B55">
        <v>54</v>
      </c>
      <c r="C55">
        <f t="shared" si="5"/>
        <v>3455.6072060452302</v>
      </c>
      <c r="D55" s="5">
        <f>-PMT(Inputs!$C$2/12, Inputs!$D$2, Inputs!$B$2)</f>
        <v>506.90985721034207</v>
      </c>
      <c r="E55">
        <f>C55 * (Inputs!$C$2/12)</f>
        <v>23.037381373634869</v>
      </c>
      <c r="F55" s="5">
        <f t="shared" si="0"/>
        <v>483.87247583670722</v>
      </c>
      <c r="G55">
        <f t="shared" si="4"/>
        <v>2971.7347302085232</v>
      </c>
      <c r="H55" s="5">
        <f t="shared" si="2"/>
        <v>506.90985721034207</v>
      </c>
    </row>
    <row r="56" spans="1:8" x14ac:dyDescent="0.35">
      <c r="A56" t="str">
        <f>Inputs!$A$2</f>
        <v>L1</v>
      </c>
      <c r="B56">
        <v>55</v>
      </c>
      <c r="C56">
        <f t="shared" si="5"/>
        <v>2971.7347302085232</v>
      </c>
      <c r="D56" s="5">
        <f>-PMT(Inputs!$C$2/12, Inputs!$D$2, Inputs!$B$2)</f>
        <v>506.90985721034207</v>
      </c>
      <c r="E56">
        <f>C56 * (Inputs!$C$2/12)</f>
        <v>19.811564868056823</v>
      </c>
      <c r="F56" s="5">
        <f t="shared" si="0"/>
        <v>487.09829234228522</v>
      </c>
      <c r="G56">
        <f t="shared" si="4"/>
        <v>2484.6364378662379</v>
      </c>
      <c r="H56" s="5">
        <f t="shared" si="2"/>
        <v>506.90985721034207</v>
      </c>
    </row>
    <row r="57" spans="1:8" x14ac:dyDescent="0.35">
      <c r="A57" t="str">
        <f>Inputs!$A$2</f>
        <v>L1</v>
      </c>
      <c r="B57">
        <v>56</v>
      </c>
      <c r="C57">
        <f t="shared" si="5"/>
        <v>2484.6364378662379</v>
      </c>
      <c r="D57" s="5">
        <f>-PMT(Inputs!$C$2/12, Inputs!$D$2, Inputs!$B$2)</f>
        <v>506.90985721034207</v>
      </c>
      <c r="E57">
        <f>C57 * (Inputs!$C$2/12)</f>
        <v>16.564242919108253</v>
      </c>
      <c r="F57" s="5">
        <f t="shared" si="0"/>
        <v>490.3456142912338</v>
      </c>
      <c r="G57">
        <f t="shared" si="4"/>
        <v>1994.2908235750042</v>
      </c>
      <c r="H57" s="5">
        <f t="shared" si="2"/>
        <v>506.90985721034207</v>
      </c>
    </row>
    <row r="58" spans="1:8" x14ac:dyDescent="0.35">
      <c r="A58" t="str">
        <f>Inputs!$A$2</f>
        <v>L1</v>
      </c>
      <c r="B58">
        <v>57</v>
      </c>
      <c r="C58">
        <f t="shared" si="5"/>
        <v>1994.2908235750042</v>
      </c>
      <c r="D58" s="5">
        <f>-PMT(Inputs!$C$2/12, Inputs!$D$2, Inputs!$B$2)</f>
        <v>506.90985721034207</v>
      </c>
      <c r="E58">
        <f>C58 * (Inputs!$C$2/12)</f>
        <v>13.295272157166696</v>
      </c>
      <c r="F58" s="5">
        <f t="shared" si="0"/>
        <v>493.61458505317535</v>
      </c>
      <c r="G58">
        <f t="shared" si="4"/>
        <v>1500.676238521829</v>
      </c>
      <c r="H58" s="5">
        <f t="shared" si="2"/>
        <v>506.90985721034207</v>
      </c>
    </row>
    <row r="59" spans="1:8" x14ac:dyDescent="0.35">
      <c r="A59" t="str">
        <f>Inputs!$A$2</f>
        <v>L1</v>
      </c>
      <c r="B59">
        <v>58</v>
      </c>
      <c r="C59">
        <f t="shared" si="5"/>
        <v>1500.676238521829</v>
      </c>
      <c r="D59" s="5">
        <f>-PMT(Inputs!$C$2/12, Inputs!$D$2, Inputs!$B$2)</f>
        <v>506.90985721034207</v>
      </c>
      <c r="E59">
        <f>C59 * (Inputs!$C$2/12)</f>
        <v>10.004508256812194</v>
      </c>
      <c r="F59" s="5">
        <f t="shared" si="0"/>
        <v>496.90534895352988</v>
      </c>
      <c r="G59">
        <f t="shared" si="4"/>
        <v>1003.770889568299</v>
      </c>
      <c r="H59" s="5">
        <f t="shared" si="2"/>
        <v>506.90985721034207</v>
      </c>
    </row>
    <row r="60" spans="1:8" x14ac:dyDescent="0.35">
      <c r="A60" t="str">
        <f>Inputs!$A$2</f>
        <v>L1</v>
      </c>
      <c r="B60">
        <v>59</v>
      </c>
      <c r="C60">
        <f t="shared" si="5"/>
        <v>1003.770889568299</v>
      </c>
      <c r="D60" s="5">
        <f>-PMT(Inputs!$C$2/12, Inputs!$D$2, Inputs!$B$2)</f>
        <v>506.90985721034207</v>
      </c>
      <c r="E60">
        <f>C60 * (Inputs!$C$2/12)</f>
        <v>6.6918059304553275</v>
      </c>
      <c r="F60" s="5">
        <f t="shared" si="0"/>
        <v>500.21805127988677</v>
      </c>
      <c r="G60">
        <f t="shared" si="4"/>
        <v>503.55283828841226</v>
      </c>
      <c r="H60" s="5">
        <f t="shared" si="2"/>
        <v>506.90985721034207</v>
      </c>
    </row>
    <row r="61" spans="1:8" x14ac:dyDescent="0.35">
      <c r="A61" t="str">
        <f>Inputs!$A$2</f>
        <v>L1</v>
      </c>
      <c r="B61">
        <v>60</v>
      </c>
      <c r="C61">
        <f t="shared" si="5"/>
        <v>503.55283828841226</v>
      </c>
      <c r="D61" s="5">
        <f>-PMT(Inputs!$C$2/12, Inputs!$D$2, Inputs!$B$2)</f>
        <v>506.90985721034207</v>
      </c>
      <c r="E61">
        <f>C61 * (Inputs!$C$2/12)</f>
        <v>3.3570189219227484</v>
      </c>
      <c r="F61" s="5">
        <f t="shared" si="0"/>
        <v>503.55283828841931</v>
      </c>
      <c r="G61">
        <f>C61 - F61</f>
        <v>-7.0485839387401938E-12</v>
      </c>
      <c r="H61" s="5">
        <f t="shared" si="2"/>
        <v>506.90985721034207</v>
      </c>
    </row>
    <row r="63" spans="1:8" x14ac:dyDescent="0.35">
      <c r="A63" s="2" t="str">
        <f>Inputs!$A$3</f>
        <v>L2</v>
      </c>
      <c r="B63" s="3">
        <v>1</v>
      </c>
      <c r="C63" s="3">
        <f>Inputs!$B$3</f>
        <v>15000</v>
      </c>
      <c r="D63" s="6">
        <f>-PMT(Inputs!$C$3/12, Inputs!$D$3, Inputs!$B$3)</f>
        <v>293.4922232809281</v>
      </c>
      <c r="E63" s="3">
        <f>C63 * (Inputs!$C$3/12)</f>
        <v>81.25</v>
      </c>
      <c r="F63" s="6">
        <f>D63 - E63</f>
        <v>212.2422232809281</v>
      </c>
      <c r="G63" s="6">
        <f>C63 - F63</f>
        <v>14787.757776719072</v>
      </c>
      <c r="H63" s="7">
        <f>D63</f>
        <v>293.4922232809281</v>
      </c>
    </row>
    <row r="64" spans="1:8" x14ac:dyDescent="0.35">
      <c r="A64" s="2" t="str">
        <f>Inputs!$A$3</f>
        <v>L2</v>
      </c>
      <c r="B64" s="3">
        <v>2</v>
      </c>
      <c r="C64" s="3">
        <f>G63</f>
        <v>14787.757776719072</v>
      </c>
      <c r="D64" s="6">
        <f>-PMT(Inputs!$C$3/12, Inputs!$D$3, Inputs!$B$3)</f>
        <v>293.4922232809281</v>
      </c>
      <c r="E64" s="3">
        <f>C64 * (Inputs!$C$3/12)</f>
        <v>80.100354623894972</v>
      </c>
      <c r="F64" s="6">
        <f t="shared" ref="F64:F122" si="6">D64 - E64</f>
        <v>213.39186865703311</v>
      </c>
      <c r="G64" s="6">
        <f t="shared" ref="G64:G122" si="7">C64 - F64</f>
        <v>14574.36590806204</v>
      </c>
      <c r="H64" s="7">
        <f t="shared" ref="H64:H122" si="8">D64</f>
        <v>293.4922232809281</v>
      </c>
    </row>
    <row r="65" spans="1:8" x14ac:dyDescent="0.35">
      <c r="A65" s="2" t="str">
        <f>Inputs!$A$3</f>
        <v>L2</v>
      </c>
      <c r="B65" s="3">
        <v>3</v>
      </c>
      <c r="C65" s="3">
        <f t="shared" ref="C65:C122" si="9">G64</f>
        <v>14574.36590806204</v>
      </c>
      <c r="D65" s="6">
        <f>-PMT(Inputs!$C$3/12, Inputs!$D$3, Inputs!$B$3)</f>
        <v>293.4922232809281</v>
      </c>
      <c r="E65" s="3">
        <f>C65 * (Inputs!$C$3/12)</f>
        <v>78.944482002002715</v>
      </c>
      <c r="F65" s="6">
        <f t="shared" si="6"/>
        <v>214.5477412789254</v>
      </c>
      <c r="G65" s="6">
        <f t="shared" si="7"/>
        <v>14359.818166783114</v>
      </c>
      <c r="H65" s="7">
        <f t="shared" si="8"/>
        <v>293.4922232809281</v>
      </c>
    </row>
    <row r="66" spans="1:8" x14ac:dyDescent="0.35">
      <c r="A66" s="2" t="str">
        <f>Inputs!$A$3</f>
        <v>L2</v>
      </c>
      <c r="B66" s="3">
        <v>4</v>
      </c>
      <c r="C66" s="3">
        <f t="shared" si="9"/>
        <v>14359.818166783114</v>
      </c>
      <c r="D66" s="6">
        <f>-PMT(Inputs!$C$3/12, Inputs!$D$3, Inputs!$B$3)</f>
        <v>293.4922232809281</v>
      </c>
      <c r="E66" s="3">
        <f>C66 * (Inputs!$C$3/12)</f>
        <v>77.782348403408534</v>
      </c>
      <c r="F66" s="6">
        <f t="shared" si="6"/>
        <v>215.70987487751955</v>
      </c>
      <c r="G66" s="6">
        <f t="shared" si="7"/>
        <v>14144.108291905595</v>
      </c>
      <c r="H66" s="7">
        <f t="shared" si="8"/>
        <v>293.4922232809281</v>
      </c>
    </row>
    <row r="67" spans="1:8" x14ac:dyDescent="0.35">
      <c r="A67" s="2" t="str">
        <f>Inputs!$A$3</f>
        <v>L2</v>
      </c>
      <c r="B67" s="3">
        <v>5</v>
      </c>
      <c r="C67" s="3">
        <f t="shared" si="9"/>
        <v>14144.108291905595</v>
      </c>
      <c r="D67" s="6">
        <f>-PMT(Inputs!$C$3/12, Inputs!$D$3, Inputs!$B$3)</f>
        <v>293.4922232809281</v>
      </c>
      <c r="E67" s="3">
        <f>C67 * (Inputs!$C$3/12)</f>
        <v>76.613919914488648</v>
      </c>
      <c r="F67" s="6">
        <f t="shared" si="6"/>
        <v>216.87830336643947</v>
      </c>
      <c r="G67" s="6">
        <f t="shared" si="7"/>
        <v>13927.229988539155</v>
      </c>
      <c r="H67" s="7">
        <f t="shared" si="8"/>
        <v>293.4922232809281</v>
      </c>
    </row>
    <row r="68" spans="1:8" x14ac:dyDescent="0.35">
      <c r="A68" s="2" t="str">
        <f>Inputs!$A$3</f>
        <v>L2</v>
      </c>
      <c r="B68" s="3">
        <v>6</v>
      </c>
      <c r="C68" s="3">
        <f t="shared" si="9"/>
        <v>13927.229988539155</v>
      </c>
      <c r="D68" s="6">
        <f>-PMT(Inputs!$C$3/12, Inputs!$D$3, Inputs!$B$3)</f>
        <v>293.4922232809281</v>
      </c>
      <c r="E68" s="3">
        <f>C68 * (Inputs!$C$3/12)</f>
        <v>75.43916243792043</v>
      </c>
      <c r="F68" s="6">
        <f t="shared" si="6"/>
        <v>218.05306084300767</v>
      </c>
      <c r="G68" s="6">
        <f t="shared" si="7"/>
        <v>13709.176927696148</v>
      </c>
      <c r="H68" s="7">
        <f t="shared" si="8"/>
        <v>293.4922232809281</v>
      </c>
    </row>
    <row r="69" spans="1:8" x14ac:dyDescent="0.35">
      <c r="A69" s="2" t="str">
        <f>Inputs!$A$3</f>
        <v>L2</v>
      </c>
      <c r="B69" s="3">
        <v>7</v>
      </c>
      <c r="C69" s="3">
        <f t="shared" si="9"/>
        <v>13709.176927696148</v>
      </c>
      <c r="D69" s="6">
        <f>-PMT(Inputs!$C$3/12, Inputs!$D$3, Inputs!$B$3)</f>
        <v>293.4922232809281</v>
      </c>
      <c r="E69" s="3">
        <f>C69 * (Inputs!$C$3/12)</f>
        <v>74.258041691687467</v>
      </c>
      <c r="F69" s="6">
        <f t="shared" si="6"/>
        <v>219.23418158924062</v>
      </c>
      <c r="G69" s="6">
        <f t="shared" si="7"/>
        <v>13489.942746106906</v>
      </c>
      <c r="H69" s="7">
        <f t="shared" si="8"/>
        <v>293.4922232809281</v>
      </c>
    </row>
    <row r="70" spans="1:8" x14ac:dyDescent="0.35">
      <c r="A70" s="2" t="str">
        <f>Inputs!$A$3</f>
        <v>L2</v>
      </c>
      <c r="B70" s="3">
        <v>8</v>
      </c>
      <c r="C70" s="3">
        <f t="shared" si="9"/>
        <v>13489.942746106906</v>
      </c>
      <c r="D70" s="6">
        <f>-PMT(Inputs!$C$3/12, Inputs!$D$3, Inputs!$B$3)</f>
        <v>293.4922232809281</v>
      </c>
      <c r="E70" s="3">
        <f>C70 * (Inputs!$C$3/12)</f>
        <v>73.070523208079081</v>
      </c>
      <c r="F70" s="6">
        <f t="shared" si="6"/>
        <v>220.42170007284903</v>
      </c>
      <c r="G70" s="6">
        <f t="shared" si="7"/>
        <v>13269.521046034057</v>
      </c>
      <c r="H70" s="7">
        <f t="shared" si="8"/>
        <v>293.4922232809281</v>
      </c>
    </row>
    <row r="71" spans="1:8" x14ac:dyDescent="0.35">
      <c r="A71" s="2" t="str">
        <f>Inputs!$A$3</f>
        <v>L2</v>
      </c>
      <c r="B71" s="3">
        <v>9</v>
      </c>
      <c r="C71" s="3">
        <f t="shared" si="9"/>
        <v>13269.521046034057</v>
      </c>
      <c r="D71" s="6">
        <f>-PMT(Inputs!$C$3/12, Inputs!$D$3, Inputs!$B$3)</f>
        <v>293.4922232809281</v>
      </c>
      <c r="E71" s="3">
        <f>C71 * (Inputs!$C$3/12)</f>
        <v>71.876572332684475</v>
      </c>
      <c r="F71" s="6">
        <f t="shared" si="6"/>
        <v>221.61565094824363</v>
      </c>
      <c r="G71" s="6">
        <f t="shared" si="7"/>
        <v>13047.905395085812</v>
      </c>
      <c r="H71" s="7">
        <f t="shared" si="8"/>
        <v>293.4922232809281</v>
      </c>
    </row>
    <row r="72" spans="1:8" x14ac:dyDescent="0.35">
      <c r="A72" s="2" t="str">
        <f>Inputs!$A$3</f>
        <v>L2</v>
      </c>
      <c r="B72" s="3">
        <v>10</v>
      </c>
      <c r="C72" s="3">
        <f t="shared" si="9"/>
        <v>13047.905395085812</v>
      </c>
      <c r="D72" s="6">
        <f>-PMT(Inputs!$C$3/12, Inputs!$D$3, Inputs!$B$3)</f>
        <v>293.4922232809281</v>
      </c>
      <c r="E72" s="3">
        <f>C72 * (Inputs!$C$3/12)</f>
        <v>70.676154223381488</v>
      </c>
      <c r="F72" s="6">
        <f t="shared" si="6"/>
        <v>222.8160690575466</v>
      </c>
      <c r="G72" s="6">
        <f t="shared" si="7"/>
        <v>12825.089326028266</v>
      </c>
      <c r="H72" s="7">
        <f t="shared" si="8"/>
        <v>293.4922232809281</v>
      </c>
    </row>
    <row r="73" spans="1:8" x14ac:dyDescent="0.35">
      <c r="A73" s="2" t="str">
        <f>Inputs!$A$3</f>
        <v>L2</v>
      </c>
      <c r="B73" s="3">
        <v>11</v>
      </c>
      <c r="C73" s="3">
        <f t="shared" si="9"/>
        <v>12825.089326028266</v>
      </c>
      <c r="D73" s="6">
        <f>-PMT(Inputs!$C$3/12, Inputs!$D$3, Inputs!$B$3)</f>
        <v>293.4922232809281</v>
      </c>
      <c r="E73" s="3">
        <f>C73 * (Inputs!$C$3/12)</f>
        <v>69.469233849319778</v>
      </c>
      <c r="F73" s="6">
        <f t="shared" si="6"/>
        <v>224.02298943160832</v>
      </c>
      <c r="G73" s="6">
        <f t="shared" si="7"/>
        <v>12601.066336596657</v>
      </c>
      <c r="H73" s="7">
        <f t="shared" si="8"/>
        <v>293.4922232809281</v>
      </c>
    </row>
    <row r="74" spans="1:8" x14ac:dyDescent="0.35">
      <c r="A74" s="2" t="str">
        <f>Inputs!$A$3</f>
        <v>L2</v>
      </c>
      <c r="B74" s="3">
        <v>12</v>
      </c>
      <c r="C74" s="3">
        <f t="shared" si="9"/>
        <v>12601.066336596657</v>
      </c>
      <c r="D74" s="6">
        <f>-PMT(Inputs!$C$3/12, Inputs!$D$3, Inputs!$B$3)</f>
        <v>293.4922232809281</v>
      </c>
      <c r="E74" s="3">
        <f>C74 * (Inputs!$C$3/12)</f>
        <v>68.255775989898567</v>
      </c>
      <c r="F74" s="6">
        <f t="shared" si="6"/>
        <v>225.23644729102955</v>
      </c>
      <c r="G74" s="6">
        <f t="shared" si="7"/>
        <v>12375.829889305627</v>
      </c>
      <c r="H74" s="7">
        <f t="shared" si="8"/>
        <v>293.4922232809281</v>
      </c>
    </row>
    <row r="75" spans="1:8" x14ac:dyDescent="0.35">
      <c r="A75" s="2" t="str">
        <f>Inputs!$A$3</f>
        <v>L2</v>
      </c>
      <c r="B75" s="3">
        <v>13</v>
      </c>
      <c r="C75" s="3">
        <f t="shared" si="9"/>
        <v>12375.829889305627</v>
      </c>
      <c r="D75" s="6">
        <f>-PMT(Inputs!$C$3/12, Inputs!$D$3, Inputs!$B$3)</f>
        <v>293.4922232809281</v>
      </c>
      <c r="E75" s="3">
        <f>C75 * (Inputs!$C$3/12)</f>
        <v>67.035745233738822</v>
      </c>
      <c r="F75" s="6">
        <f t="shared" si="6"/>
        <v>226.45647804718928</v>
      </c>
      <c r="G75" s="6">
        <f t="shared" si="7"/>
        <v>12149.373411258437</v>
      </c>
      <c r="H75" s="7">
        <f t="shared" si="8"/>
        <v>293.4922232809281</v>
      </c>
    </row>
    <row r="76" spans="1:8" x14ac:dyDescent="0.35">
      <c r="A76" s="2" t="str">
        <f>Inputs!$A$3</f>
        <v>L2</v>
      </c>
      <c r="B76" s="3">
        <v>14</v>
      </c>
      <c r="C76" s="3">
        <f t="shared" si="9"/>
        <v>12149.373411258437</v>
      </c>
      <c r="D76" s="6">
        <f>-PMT(Inputs!$C$3/12, Inputs!$D$3, Inputs!$B$3)</f>
        <v>293.4922232809281</v>
      </c>
      <c r="E76" s="3">
        <f>C76 * (Inputs!$C$3/12)</f>
        <v>65.809105977649864</v>
      </c>
      <c r="F76" s="6">
        <f t="shared" si="6"/>
        <v>227.68311730327824</v>
      </c>
      <c r="G76" s="6">
        <f t="shared" si="7"/>
        <v>11921.690293955158</v>
      </c>
      <c r="H76" s="7">
        <f t="shared" si="8"/>
        <v>293.4922232809281</v>
      </c>
    </row>
    <row r="77" spans="1:8" x14ac:dyDescent="0.35">
      <c r="A77" s="2" t="str">
        <f>Inputs!$A$3</f>
        <v>L2</v>
      </c>
      <c r="B77" s="3">
        <v>15</v>
      </c>
      <c r="C77" s="3">
        <f t="shared" si="9"/>
        <v>11921.690293955158</v>
      </c>
      <c r="D77" s="6">
        <f>-PMT(Inputs!$C$3/12, Inputs!$D$3, Inputs!$B$3)</f>
        <v>293.4922232809281</v>
      </c>
      <c r="E77" s="3">
        <f>C77 * (Inputs!$C$3/12)</f>
        <v>64.575822425590445</v>
      </c>
      <c r="F77" s="6">
        <f t="shared" si="6"/>
        <v>228.91640085533766</v>
      </c>
      <c r="G77" s="6">
        <f t="shared" si="7"/>
        <v>11692.77389309982</v>
      </c>
      <c r="H77" s="7">
        <f t="shared" si="8"/>
        <v>293.4922232809281</v>
      </c>
    </row>
    <row r="78" spans="1:8" x14ac:dyDescent="0.35">
      <c r="A78" s="2" t="str">
        <f>Inputs!$A$3</f>
        <v>L2</v>
      </c>
      <c r="B78" s="3">
        <v>16</v>
      </c>
      <c r="C78" s="3">
        <f t="shared" si="9"/>
        <v>11692.77389309982</v>
      </c>
      <c r="D78" s="6">
        <f>-PMT(Inputs!$C$3/12, Inputs!$D$3, Inputs!$B$3)</f>
        <v>293.4922232809281</v>
      </c>
      <c r="E78" s="3">
        <f>C78 * (Inputs!$C$3/12)</f>
        <v>63.335858587624031</v>
      </c>
      <c r="F78" s="6">
        <f t="shared" si="6"/>
        <v>230.15636469330406</v>
      </c>
      <c r="G78" s="6">
        <f t="shared" si="7"/>
        <v>11462.617528406516</v>
      </c>
      <c r="H78" s="7">
        <f t="shared" si="8"/>
        <v>293.4922232809281</v>
      </c>
    </row>
    <row r="79" spans="1:8" x14ac:dyDescent="0.35">
      <c r="A79" s="2" t="str">
        <f>Inputs!$A$3</f>
        <v>L2</v>
      </c>
      <c r="B79" s="3">
        <v>17</v>
      </c>
      <c r="C79" s="3">
        <f t="shared" si="9"/>
        <v>11462.617528406516</v>
      </c>
      <c r="D79" s="6">
        <f>-PMT(Inputs!$C$3/12, Inputs!$D$3, Inputs!$B$3)</f>
        <v>293.4922232809281</v>
      </c>
      <c r="E79" s="3">
        <f>C79 * (Inputs!$C$3/12)</f>
        <v>62.08917827886863</v>
      </c>
      <c r="F79" s="6">
        <f t="shared" si="6"/>
        <v>231.40304500205946</v>
      </c>
      <c r="G79" s="6">
        <f t="shared" si="7"/>
        <v>11231.214483404456</v>
      </c>
      <c r="H79" s="7">
        <f t="shared" si="8"/>
        <v>293.4922232809281</v>
      </c>
    </row>
    <row r="80" spans="1:8" x14ac:dyDescent="0.35">
      <c r="A80" s="2" t="str">
        <f>Inputs!$A$3</f>
        <v>L2</v>
      </c>
      <c r="B80" s="3">
        <v>18</v>
      </c>
      <c r="C80" s="3">
        <f t="shared" si="9"/>
        <v>11231.214483404456</v>
      </c>
      <c r="D80" s="6">
        <f>-PMT(Inputs!$C$3/12, Inputs!$D$3, Inputs!$B$3)</f>
        <v>293.4922232809281</v>
      </c>
      <c r="E80" s="3">
        <f>C80 * (Inputs!$C$3/12)</f>
        <v>60.835745118440805</v>
      </c>
      <c r="F80" s="6">
        <f t="shared" si="6"/>
        <v>232.6564781624873</v>
      </c>
      <c r="G80" s="6">
        <f t="shared" si="7"/>
        <v>10998.558005241968</v>
      </c>
      <c r="H80" s="7">
        <f t="shared" si="8"/>
        <v>293.4922232809281</v>
      </c>
    </row>
    <row r="81" spans="1:8" x14ac:dyDescent="0.35">
      <c r="A81" s="2" t="str">
        <f>Inputs!$A$3</f>
        <v>L2</v>
      </c>
      <c r="B81" s="3">
        <v>19</v>
      </c>
      <c r="C81" s="3">
        <f t="shared" si="9"/>
        <v>10998.558005241968</v>
      </c>
      <c r="D81" s="6">
        <f>-PMT(Inputs!$C$3/12, Inputs!$D$3, Inputs!$B$3)</f>
        <v>293.4922232809281</v>
      </c>
      <c r="E81" s="3">
        <f>C81 * (Inputs!$C$3/12)</f>
        <v>59.575522528393996</v>
      </c>
      <c r="F81" s="6">
        <f t="shared" si="6"/>
        <v>233.9167007525341</v>
      </c>
      <c r="G81" s="6">
        <f t="shared" si="7"/>
        <v>10764.641304489434</v>
      </c>
      <c r="H81" s="7">
        <f t="shared" si="8"/>
        <v>293.4922232809281</v>
      </c>
    </row>
    <row r="82" spans="1:8" x14ac:dyDescent="0.35">
      <c r="A82" s="2" t="str">
        <f>Inputs!$A$3</f>
        <v>L2</v>
      </c>
      <c r="B82" s="3">
        <v>20</v>
      </c>
      <c r="C82" s="3">
        <f t="shared" si="9"/>
        <v>10764.641304489434</v>
      </c>
      <c r="D82" s="6">
        <f>-PMT(Inputs!$C$3/12, Inputs!$D$3, Inputs!$B$3)</f>
        <v>293.4922232809281</v>
      </c>
      <c r="E82" s="3">
        <f>C82 * (Inputs!$C$3/12)</f>
        <v>58.308473732651102</v>
      </c>
      <c r="F82" s="6">
        <f t="shared" si="6"/>
        <v>235.18374954827701</v>
      </c>
      <c r="G82" s="6">
        <f t="shared" si="7"/>
        <v>10529.457554941157</v>
      </c>
      <c r="H82" s="7">
        <f t="shared" si="8"/>
        <v>293.4922232809281</v>
      </c>
    </row>
    <row r="83" spans="1:8" x14ac:dyDescent="0.35">
      <c r="A83" s="2" t="str">
        <f>Inputs!$A$3</f>
        <v>L2</v>
      </c>
      <c r="B83" s="3">
        <v>21</v>
      </c>
      <c r="C83" s="3">
        <f t="shared" si="9"/>
        <v>10529.457554941157</v>
      </c>
      <c r="D83" s="6">
        <f>-PMT(Inputs!$C$3/12, Inputs!$D$3, Inputs!$B$3)</f>
        <v>293.4922232809281</v>
      </c>
      <c r="E83" s="3">
        <f>C83 * (Inputs!$C$3/12)</f>
        <v>57.034561755931264</v>
      </c>
      <c r="F83" s="6">
        <f t="shared" si="6"/>
        <v>236.45766152499684</v>
      </c>
      <c r="G83" s="6">
        <f t="shared" si="7"/>
        <v>10292.999893416159</v>
      </c>
      <c r="H83" s="7">
        <f t="shared" si="8"/>
        <v>293.4922232809281</v>
      </c>
    </row>
    <row r="84" spans="1:8" x14ac:dyDescent="0.35">
      <c r="A84" s="2" t="str">
        <f>Inputs!$A$3</f>
        <v>L2</v>
      </c>
      <c r="B84" s="3">
        <v>22</v>
      </c>
      <c r="C84" s="3">
        <f t="shared" si="9"/>
        <v>10292.999893416159</v>
      </c>
      <c r="D84" s="6">
        <f>-PMT(Inputs!$C$3/12, Inputs!$D$3, Inputs!$B$3)</f>
        <v>293.4922232809281</v>
      </c>
      <c r="E84" s="3">
        <f>C84 * (Inputs!$C$3/12)</f>
        <v>55.753749422670865</v>
      </c>
      <c r="F84" s="6">
        <f t="shared" si="6"/>
        <v>237.73847385825724</v>
      </c>
      <c r="G84" s="6">
        <f t="shared" si="7"/>
        <v>10055.261419557903</v>
      </c>
      <c r="H84" s="7">
        <f t="shared" si="8"/>
        <v>293.4922232809281</v>
      </c>
    </row>
    <row r="85" spans="1:8" x14ac:dyDescent="0.35">
      <c r="A85" s="2" t="str">
        <f>Inputs!$A$3</f>
        <v>L2</v>
      </c>
      <c r="B85" s="3">
        <v>23</v>
      </c>
      <c r="C85" s="3">
        <f t="shared" si="9"/>
        <v>10055.261419557903</v>
      </c>
      <c r="D85" s="6">
        <f>-PMT(Inputs!$C$3/12, Inputs!$D$3, Inputs!$B$3)</f>
        <v>293.4922232809281</v>
      </c>
      <c r="E85" s="3">
        <f>C85 * (Inputs!$C$3/12)</f>
        <v>54.465999355938642</v>
      </c>
      <c r="F85" s="6">
        <f t="shared" si="6"/>
        <v>239.02622392498947</v>
      </c>
      <c r="G85" s="6">
        <f t="shared" si="7"/>
        <v>9816.235195632913</v>
      </c>
      <c r="H85" s="7">
        <f t="shared" si="8"/>
        <v>293.4922232809281</v>
      </c>
    </row>
    <row r="86" spans="1:8" x14ac:dyDescent="0.35">
      <c r="A86" s="2" t="str">
        <f>Inputs!$A$3</f>
        <v>L2</v>
      </c>
      <c r="B86" s="3">
        <v>24</v>
      </c>
      <c r="C86" s="3">
        <f t="shared" si="9"/>
        <v>9816.235195632913</v>
      </c>
      <c r="D86" s="6">
        <f>-PMT(Inputs!$C$3/12, Inputs!$D$3, Inputs!$B$3)</f>
        <v>293.4922232809281</v>
      </c>
      <c r="E86" s="3">
        <f>C86 * (Inputs!$C$3/12)</f>
        <v>53.171273976344949</v>
      </c>
      <c r="F86" s="6">
        <f t="shared" si="6"/>
        <v>240.32094930458317</v>
      </c>
      <c r="G86" s="6">
        <f t="shared" si="7"/>
        <v>9575.9142463283297</v>
      </c>
      <c r="H86" s="7">
        <f t="shared" si="8"/>
        <v>293.4922232809281</v>
      </c>
    </row>
    <row r="87" spans="1:8" x14ac:dyDescent="0.35">
      <c r="A87" s="2" t="str">
        <f>Inputs!$A$3</f>
        <v>L2</v>
      </c>
      <c r="B87" s="3">
        <v>25</v>
      </c>
      <c r="C87" s="3">
        <f t="shared" si="9"/>
        <v>9575.9142463283297</v>
      </c>
      <c r="D87" s="6">
        <f>-PMT(Inputs!$C$3/12, Inputs!$D$3, Inputs!$B$3)</f>
        <v>293.4922232809281</v>
      </c>
      <c r="E87" s="3">
        <f>C87 * (Inputs!$C$3/12)</f>
        <v>51.869535500945119</v>
      </c>
      <c r="F87" s="6">
        <f t="shared" si="6"/>
        <v>241.62268777998298</v>
      </c>
      <c r="G87" s="6">
        <f t="shared" si="7"/>
        <v>9334.2915585483461</v>
      </c>
      <c r="H87" s="7">
        <f t="shared" si="8"/>
        <v>293.4922232809281</v>
      </c>
    </row>
    <row r="88" spans="1:8" x14ac:dyDescent="0.35">
      <c r="A88" s="2" t="str">
        <f>Inputs!$A$3</f>
        <v>L2</v>
      </c>
      <c r="B88" s="3">
        <v>26</v>
      </c>
      <c r="C88" s="3">
        <f t="shared" si="9"/>
        <v>9334.2915585483461</v>
      </c>
      <c r="D88" s="6">
        <f>-PMT(Inputs!$C$3/12, Inputs!$D$3, Inputs!$B$3)</f>
        <v>293.4922232809281</v>
      </c>
      <c r="E88" s="3">
        <f>C88 * (Inputs!$C$3/12)</f>
        <v>50.560745942136876</v>
      </c>
      <c r="F88" s="6">
        <f t="shared" si="6"/>
        <v>242.93147733879124</v>
      </c>
      <c r="G88" s="6">
        <f t="shared" si="7"/>
        <v>9091.3600812095556</v>
      </c>
      <c r="H88" s="7">
        <f t="shared" si="8"/>
        <v>293.4922232809281</v>
      </c>
    </row>
    <row r="89" spans="1:8" x14ac:dyDescent="0.35">
      <c r="A89" s="2" t="str">
        <f>Inputs!$A$3</f>
        <v>L2</v>
      </c>
      <c r="B89" s="3">
        <v>27</v>
      </c>
      <c r="C89" s="3">
        <f t="shared" si="9"/>
        <v>9091.3600812095556</v>
      </c>
      <c r="D89" s="6">
        <f>-PMT(Inputs!$C$3/12, Inputs!$D$3, Inputs!$B$3)</f>
        <v>293.4922232809281</v>
      </c>
      <c r="E89" s="3">
        <f>C89 * (Inputs!$C$3/12)</f>
        <v>49.244867106551759</v>
      </c>
      <c r="F89" s="6">
        <f t="shared" si="6"/>
        <v>244.24735617437634</v>
      </c>
      <c r="G89" s="6">
        <f t="shared" si="7"/>
        <v>8847.1127250351801</v>
      </c>
      <c r="H89" s="7">
        <f t="shared" si="8"/>
        <v>293.4922232809281</v>
      </c>
    </row>
    <row r="90" spans="1:8" x14ac:dyDescent="0.35">
      <c r="A90" s="2" t="str">
        <f>Inputs!$A$3</f>
        <v>L2</v>
      </c>
      <c r="B90" s="3">
        <v>28</v>
      </c>
      <c r="C90" s="3">
        <f t="shared" si="9"/>
        <v>8847.1127250351801</v>
      </c>
      <c r="D90" s="6">
        <f>-PMT(Inputs!$C$3/12, Inputs!$D$3, Inputs!$B$3)</f>
        <v>293.4922232809281</v>
      </c>
      <c r="E90" s="3">
        <f>C90 * (Inputs!$C$3/12)</f>
        <v>47.921860593940558</v>
      </c>
      <c r="F90" s="6">
        <f t="shared" si="6"/>
        <v>245.57036268698755</v>
      </c>
      <c r="G90" s="6">
        <f t="shared" si="7"/>
        <v>8601.5423623481929</v>
      </c>
      <c r="H90" s="7">
        <f t="shared" si="8"/>
        <v>293.4922232809281</v>
      </c>
    </row>
    <row r="91" spans="1:8" x14ac:dyDescent="0.35">
      <c r="A91" s="2" t="str">
        <f>Inputs!$A$3</f>
        <v>L2</v>
      </c>
      <c r="B91" s="3">
        <v>29</v>
      </c>
      <c r="C91" s="3">
        <f t="shared" si="9"/>
        <v>8601.5423623481929</v>
      </c>
      <c r="D91" s="6">
        <f>-PMT(Inputs!$C$3/12, Inputs!$D$3, Inputs!$B$3)</f>
        <v>293.4922232809281</v>
      </c>
      <c r="E91" s="3">
        <f>C91 * (Inputs!$C$3/12)</f>
        <v>46.59168779605271</v>
      </c>
      <c r="F91" s="6">
        <f t="shared" si="6"/>
        <v>246.90053548487538</v>
      </c>
      <c r="G91" s="6">
        <f t="shared" si="7"/>
        <v>8354.641826863317</v>
      </c>
      <c r="H91" s="7">
        <f t="shared" si="8"/>
        <v>293.4922232809281</v>
      </c>
    </row>
    <row r="92" spans="1:8" x14ac:dyDescent="0.35">
      <c r="A92" s="2" t="str">
        <f>Inputs!$A$3</f>
        <v>L2</v>
      </c>
      <c r="B92" s="3">
        <v>30</v>
      </c>
      <c r="C92" s="3">
        <f t="shared" si="9"/>
        <v>8354.641826863317</v>
      </c>
      <c r="D92" s="6">
        <f>-PMT(Inputs!$C$3/12, Inputs!$D$3, Inputs!$B$3)</f>
        <v>293.4922232809281</v>
      </c>
      <c r="E92" s="3">
        <f>C92 * (Inputs!$C$3/12)</f>
        <v>45.254309895509635</v>
      </c>
      <c r="F92" s="6">
        <f t="shared" si="6"/>
        <v>248.23791338541847</v>
      </c>
      <c r="G92" s="6">
        <f t="shared" si="7"/>
        <v>8106.4039134778986</v>
      </c>
      <c r="H92" s="7">
        <f t="shared" si="8"/>
        <v>293.4922232809281</v>
      </c>
    </row>
    <row r="93" spans="1:8" x14ac:dyDescent="0.35">
      <c r="A93" s="2" t="str">
        <f>Inputs!$A$3</f>
        <v>L2</v>
      </c>
      <c r="B93" s="3">
        <v>31</v>
      </c>
      <c r="C93" s="3">
        <f t="shared" si="9"/>
        <v>8106.4039134778986</v>
      </c>
      <c r="D93" s="6">
        <f>-PMT(Inputs!$C$3/12, Inputs!$D$3, Inputs!$B$3)</f>
        <v>293.4922232809281</v>
      </c>
      <c r="E93" s="3">
        <f>C93 * (Inputs!$C$3/12)</f>
        <v>43.909687864671952</v>
      </c>
      <c r="F93" s="6">
        <f t="shared" si="6"/>
        <v>249.58253541625615</v>
      </c>
      <c r="G93" s="6">
        <f t="shared" si="7"/>
        <v>7856.8213780616425</v>
      </c>
      <c r="H93" s="7">
        <f t="shared" si="8"/>
        <v>293.4922232809281</v>
      </c>
    </row>
    <row r="94" spans="1:8" x14ac:dyDescent="0.35">
      <c r="A94" s="2" t="str">
        <f>Inputs!$A$3</f>
        <v>L2</v>
      </c>
      <c r="B94" s="3">
        <v>32</v>
      </c>
      <c r="C94" s="3">
        <f t="shared" si="9"/>
        <v>7856.8213780616425</v>
      </c>
      <c r="D94" s="6">
        <f>-PMT(Inputs!$C$3/12, Inputs!$D$3, Inputs!$B$3)</f>
        <v>293.4922232809281</v>
      </c>
      <c r="E94" s="3">
        <f>C94 * (Inputs!$C$3/12)</f>
        <v>42.557782464500562</v>
      </c>
      <c r="F94" s="6">
        <f t="shared" si="6"/>
        <v>250.93444081642753</v>
      </c>
      <c r="G94" s="6">
        <f t="shared" si="7"/>
        <v>7605.8869372452145</v>
      </c>
      <c r="H94" s="7">
        <f t="shared" si="8"/>
        <v>293.4922232809281</v>
      </c>
    </row>
    <row r="95" spans="1:8" x14ac:dyDescent="0.35">
      <c r="A95" s="2" t="str">
        <f>Inputs!$A$3</f>
        <v>L2</v>
      </c>
      <c r="B95" s="3">
        <v>33</v>
      </c>
      <c r="C95" s="3">
        <f t="shared" si="9"/>
        <v>7605.8869372452145</v>
      </c>
      <c r="D95" s="6">
        <f>-PMT(Inputs!$C$3/12, Inputs!$D$3, Inputs!$B$3)</f>
        <v>293.4922232809281</v>
      </c>
      <c r="E95" s="3">
        <f>C95 * (Inputs!$C$3/12)</f>
        <v>41.198554243411579</v>
      </c>
      <c r="F95" s="6">
        <f t="shared" si="6"/>
        <v>252.29366903751651</v>
      </c>
      <c r="G95" s="6">
        <f t="shared" si="7"/>
        <v>7353.5932682076982</v>
      </c>
      <c r="H95" s="7">
        <f t="shared" si="8"/>
        <v>293.4922232809281</v>
      </c>
    </row>
    <row r="96" spans="1:8" x14ac:dyDescent="0.35">
      <c r="A96" s="2" t="str">
        <f>Inputs!$A$3</f>
        <v>L2</v>
      </c>
      <c r="B96" s="3">
        <v>34</v>
      </c>
      <c r="C96" s="3">
        <f t="shared" si="9"/>
        <v>7353.5932682076982</v>
      </c>
      <c r="D96" s="6">
        <f>-PMT(Inputs!$C$3/12, Inputs!$D$3, Inputs!$B$3)</f>
        <v>293.4922232809281</v>
      </c>
      <c r="E96" s="3">
        <f>C96 * (Inputs!$C$3/12)</f>
        <v>39.831963536125031</v>
      </c>
      <c r="F96" s="6">
        <f t="shared" si="6"/>
        <v>253.66025974480306</v>
      </c>
      <c r="G96" s="6">
        <f t="shared" si="7"/>
        <v>7099.9330084628955</v>
      </c>
      <c r="H96" s="7">
        <f t="shared" si="8"/>
        <v>293.4922232809281</v>
      </c>
    </row>
    <row r="97" spans="1:8" x14ac:dyDescent="0.35">
      <c r="A97" s="2" t="str">
        <f>Inputs!$A$3</f>
        <v>L2</v>
      </c>
      <c r="B97" s="3">
        <v>35</v>
      </c>
      <c r="C97" s="3">
        <f t="shared" si="9"/>
        <v>7099.9330084628955</v>
      </c>
      <c r="D97" s="6">
        <f>-PMT(Inputs!$C$3/12, Inputs!$D$3, Inputs!$B$3)</f>
        <v>293.4922232809281</v>
      </c>
      <c r="E97" s="3">
        <f>C97 * (Inputs!$C$3/12)</f>
        <v>38.457970462507355</v>
      </c>
      <c r="F97" s="6">
        <f t="shared" si="6"/>
        <v>255.03425281842075</v>
      </c>
      <c r="G97" s="6">
        <f t="shared" si="7"/>
        <v>6844.8987556444745</v>
      </c>
      <c r="H97" s="7">
        <f t="shared" si="8"/>
        <v>293.4922232809281</v>
      </c>
    </row>
    <row r="98" spans="1:8" x14ac:dyDescent="0.35">
      <c r="A98" s="2" t="str">
        <f>Inputs!$A$3</f>
        <v>L2</v>
      </c>
      <c r="B98" s="3">
        <v>36</v>
      </c>
      <c r="C98" s="3">
        <f t="shared" si="9"/>
        <v>6844.8987556444745</v>
      </c>
      <c r="D98" s="6">
        <f>-PMT(Inputs!$C$3/12, Inputs!$D$3, Inputs!$B$3)</f>
        <v>293.4922232809281</v>
      </c>
      <c r="E98" s="3">
        <f>C98 * (Inputs!$C$3/12)</f>
        <v>37.076534926407568</v>
      </c>
      <c r="F98" s="6">
        <f t="shared" si="6"/>
        <v>256.41568835452051</v>
      </c>
      <c r="G98" s="6">
        <f t="shared" si="7"/>
        <v>6588.4830672899543</v>
      </c>
      <c r="H98" s="7">
        <f t="shared" si="8"/>
        <v>293.4922232809281</v>
      </c>
    </row>
    <row r="99" spans="1:8" x14ac:dyDescent="0.35">
      <c r="A99" s="2" t="str">
        <f>Inputs!$A$3</f>
        <v>L2</v>
      </c>
      <c r="B99" s="3">
        <v>37</v>
      </c>
      <c r="C99" s="3">
        <f t="shared" si="9"/>
        <v>6588.4830672899543</v>
      </c>
      <c r="D99" s="6">
        <f>-PMT(Inputs!$C$3/12, Inputs!$D$3, Inputs!$B$3)</f>
        <v>293.4922232809281</v>
      </c>
      <c r="E99" s="3">
        <f>C99 * (Inputs!$C$3/12)</f>
        <v>35.687616614487254</v>
      </c>
      <c r="F99" s="6">
        <f t="shared" si="6"/>
        <v>257.80460666644086</v>
      </c>
      <c r="G99" s="6">
        <f t="shared" si="7"/>
        <v>6330.6784606235133</v>
      </c>
      <c r="H99" s="7">
        <f t="shared" si="8"/>
        <v>293.4922232809281</v>
      </c>
    </row>
    <row r="100" spans="1:8" x14ac:dyDescent="0.35">
      <c r="A100" s="2" t="str">
        <f>Inputs!$A$3</f>
        <v>L2</v>
      </c>
      <c r="B100" s="3">
        <v>38</v>
      </c>
      <c r="C100" s="3">
        <f t="shared" si="9"/>
        <v>6330.6784606235133</v>
      </c>
      <c r="D100" s="6">
        <f>-PMT(Inputs!$C$3/12, Inputs!$D$3, Inputs!$B$3)</f>
        <v>293.4922232809281</v>
      </c>
      <c r="E100" s="3">
        <f>C100 * (Inputs!$C$3/12)</f>
        <v>34.291174995044031</v>
      </c>
      <c r="F100" s="6">
        <f t="shared" si="6"/>
        <v>259.2010482858841</v>
      </c>
      <c r="G100" s="6">
        <f t="shared" si="7"/>
        <v>6071.4774123376292</v>
      </c>
      <c r="H100" s="7">
        <f t="shared" si="8"/>
        <v>293.4922232809281</v>
      </c>
    </row>
    <row r="101" spans="1:8" x14ac:dyDescent="0.35">
      <c r="A101" s="2" t="str">
        <f>Inputs!$A$3</f>
        <v>L2</v>
      </c>
      <c r="B101" s="3">
        <v>39</v>
      </c>
      <c r="C101" s="3">
        <f t="shared" si="9"/>
        <v>6071.4774123376292</v>
      </c>
      <c r="D101" s="6">
        <f>-PMT(Inputs!$C$3/12, Inputs!$D$3, Inputs!$B$3)</f>
        <v>293.4922232809281</v>
      </c>
      <c r="E101" s="3">
        <f>C101 * (Inputs!$C$3/12)</f>
        <v>32.887169316828825</v>
      </c>
      <c r="F101" s="6">
        <f t="shared" si="6"/>
        <v>260.60505396409928</v>
      </c>
      <c r="G101" s="6">
        <f t="shared" si="7"/>
        <v>5810.87235837353</v>
      </c>
      <c r="H101" s="7">
        <f t="shared" si="8"/>
        <v>293.4922232809281</v>
      </c>
    </row>
    <row r="102" spans="1:8" x14ac:dyDescent="0.35">
      <c r="A102" s="2" t="str">
        <f>Inputs!$A$3</f>
        <v>L2</v>
      </c>
      <c r="B102" s="3">
        <v>40</v>
      </c>
      <c r="C102" s="3">
        <f t="shared" si="9"/>
        <v>5810.87235837353</v>
      </c>
      <c r="D102" s="6">
        <f>-PMT(Inputs!$C$3/12, Inputs!$D$3, Inputs!$B$3)</f>
        <v>293.4922232809281</v>
      </c>
      <c r="E102" s="3">
        <f>C102 * (Inputs!$C$3/12)</f>
        <v>31.475558607856623</v>
      </c>
      <c r="F102" s="6">
        <f t="shared" si="6"/>
        <v>262.01666467307149</v>
      </c>
      <c r="G102" s="6">
        <f t="shared" si="7"/>
        <v>5548.8556937004587</v>
      </c>
      <c r="H102" s="7">
        <f t="shared" si="8"/>
        <v>293.4922232809281</v>
      </c>
    </row>
    <row r="103" spans="1:8" x14ac:dyDescent="0.35">
      <c r="A103" s="2" t="str">
        <f>Inputs!$A$3</f>
        <v>L2</v>
      </c>
      <c r="B103" s="3">
        <v>41</v>
      </c>
      <c r="C103" s="3">
        <f t="shared" si="9"/>
        <v>5548.8556937004587</v>
      </c>
      <c r="D103" s="6">
        <f>-PMT(Inputs!$C$3/12, Inputs!$D$3, Inputs!$B$3)</f>
        <v>293.4922232809281</v>
      </c>
      <c r="E103" s="3">
        <f>C103 * (Inputs!$C$3/12)</f>
        <v>30.056301674210818</v>
      </c>
      <c r="F103" s="6">
        <f t="shared" si="6"/>
        <v>263.43592160671727</v>
      </c>
      <c r="G103" s="6">
        <f t="shared" si="7"/>
        <v>5285.4197720937418</v>
      </c>
      <c r="H103" s="7">
        <f t="shared" si="8"/>
        <v>293.4922232809281</v>
      </c>
    </row>
    <row r="104" spans="1:8" x14ac:dyDescent="0.35">
      <c r="A104" s="2" t="str">
        <f>Inputs!$A$3</f>
        <v>L2</v>
      </c>
      <c r="B104" s="3">
        <v>42</v>
      </c>
      <c r="C104" s="3">
        <f t="shared" si="9"/>
        <v>5285.4197720937418</v>
      </c>
      <c r="D104" s="6">
        <f>-PMT(Inputs!$C$3/12, Inputs!$D$3, Inputs!$B$3)</f>
        <v>293.4922232809281</v>
      </c>
      <c r="E104" s="3">
        <f>C104 * (Inputs!$C$3/12)</f>
        <v>28.629357098841101</v>
      </c>
      <c r="F104" s="6">
        <f t="shared" si="6"/>
        <v>264.86286618208698</v>
      </c>
      <c r="G104" s="6">
        <f t="shared" si="7"/>
        <v>5020.5569059116551</v>
      </c>
      <c r="H104" s="7">
        <f t="shared" si="8"/>
        <v>293.4922232809281</v>
      </c>
    </row>
    <row r="105" spans="1:8" x14ac:dyDescent="0.35">
      <c r="A105" s="2" t="str">
        <f>Inputs!$A$3</f>
        <v>L2</v>
      </c>
      <c r="B105" s="3">
        <v>43</v>
      </c>
      <c r="C105" s="3">
        <f t="shared" si="9"/>
        <v>5020.5569059116551</v>
      </c>
      <c r="D105" s="6">
        <f>-PMT(Inputs!$C$3/12, Inputs!$D$3, Inputs!$B$3)</f>
        <v>293.4922232809281</v>
      </c>
      <c r="E105" s="3">
        <f>C105 * (Inputs!$C$3/12)</f>
        <v>27.194683240354799</v>
      </c>
      <c r="F105" s="6">
        <f t="shared" si="6"/>
        <v>266.29754004057332</v>
      </c>
      <c r="G105" s="6">
        <f t="shared" si="7"/>
        <v>4754.2593658710821</v>
      </c>
      <c r="H105" s="7">
        <f t="shared" si="8"/>
        <v>293.4922232809281</v>
      </c>
    </row>
    <row r="106" spans="1:8" x14ac:dyDescent="0.35">
      <c r="A106" s="2" t="str">
        <f>Inputs!$A$3</f>
        <v>L2</v>
      </c>
      <c r="B106" s="3">
        <v>44</v>
      </c>
      <c r="C106" s="3">
        <f t="shared" si="9"/>
        <v>4754.2593658710821</v>
      </c>
      <c r="D106" s="6">
        <f>-PMT(Inputs!$C$3/12, Inputs!$D$3, Inputs!$B$3)</f>
        <v>293.4922232809281</v>
      </c>
      <c r="E106" s="3">
        <f>C106 * (Inputs!$C$3/12)</f>
        <v>25.752238231801694</v>
      </c>
      <c r="F106" s="6">
        <f t="shared" si="6"/>
        <v>267.7399850491264</v>
      </c>
      <c r="G106" s="6">
        <f t="shared" si="7"/>
        <v>4486.5193808219556</v>
      </c>
      <c r="H106" s="7">
        <f t="shared" si="8"/>
        <v>293.4922232809281</v>
      </c>
    </row>
    <row r="107" spans="1:8" x14ac:dyDescent="0.35">
      <c r="A107" s="2" t="str">
        <f>Inputs!$A$3</f>
        <v>L2</v>
      </c>
      <c r="B107" s="3">
        <v>45</v>
      </c>
      <c r="C107" s="3">
        <f t="shared" si="9"/>
        <v>4486.5193808219556</v>
      </c>
      <c r="D107" s="6">
        <f>-PMT(Inputs!$C$3/12, Inputs!$D$3, Inputs!$B$3)</f>
        <v>293.4922232809281</v>
      </c>
      <c r="E107" s="3">
        <f>C107 * (Inputs!$C$3/12)</f>
        <v>24.301979979452259</v>
      </c>
      <c r="F107" s="6">
        <f t="shared" si="6"/>
        <v>269.19024330147585</v>
      </c>
      <c r="G107" s="6">
        <f t="shared" si="7"/>
        <v>4217.3291375204799</v>
      </c>
      <c r="H107" s="7">
        <f t="shared" si="8"/>
        <v>293.4922232809281</v>
      </c>
    </row>
    <row r="108" spans="1:8" x14ac:dyDescent="0.35">
      <c r="A108" s="2" t="str">
        <f>Inputs!$A$3</f>
        <v>L2</v>
      </c>
      <c r="B108" s="3">
        <v>46</v>
      </c>
      <c r="C108" s="3">
        <f t="shared" si="9"/>
        <v>4217.3291375204799</v>
      </c>
      <c r="D108" s="6">
        <f>-PMT(Inputs!$C$3/12, Inputs!$D$3, Inputs!$B$3)</f>
        <v>293.4922232809281</v>
      </c>
      <c r="E108" s="3">
        <f>C108 * (Inputs!$C$3/12)</f>
        <v>22.843866161569267</v>
      </c>
      <c r="F108" s="6">
        <f t="shared" si="6"/>
        <v>270.64835711935882</v>
      </c>
      <c r="G108" s="6">
        <f t="shared" si="7"/>
        <v>3946.680780401121</v>
      </c>
      <c r="H108" s="7">
        <f t="shared" si="8"/>
        <v>293.4922232809281</v>
      </c>
    </row>
    <row r="109" spans="1:8" x14ac:dyDescent="0.35">
      <c r="A109" s="2" t="str">
        <f>Inputs!$A$3</f>
        <v>L2</v>
      </c>
      <c r="B109" s="3">
        <v>47</v>
      </c>
      <c r="C109" s="3">
        <f t="shared" si="9"/>
        <v>3946.680780401121</v>
      </c>
      <c r="D109" s="6">
        <f>-PMT(Inputs!$C$3/12, Inputs!$D$3, Inputs!$B$3)</f>
        <v>293.4922232809281</v>
      </c>
      <c r="E109" s="3">
        <f>C109 * (Inputs!$C$3/12)</f>
        <v>21.37785422717274</v>
      </c>
      <c r="F109" s="6">
        <f t="shared" si="6"/>
        <v>272.11436905375535</v>
      </c>
      <c r="G109" s="6">
        <f t="shared" si="7"/>
        <v>3674.5664113473658</v>
      </c>
      <c r="H109" s="7">
        <f t="shared" si="8"/>
        <v>293.4922232809281</v>
      </c>
    </row>
    <row r="110" spans="1:8" x14ac:dyDescent="0.35">
      <c r="A110" s="2" t="str">
        <f>Inputs!$A$3</f>
        <v>L2</v>
      </c>
      <c r="B110" s="3">
        <v>48</v>
      </c>
      <c r="C110" s="3">
        <f t="shared" si="9"/>
        <v>3674.5664113473658</v>
      </c>
      <c r="D110" s="6">
        <f>-PMT(Inputs!$C$3/12, Inputs!$D$3, Inputs!$B$3)</f>
        <v>293.4922232809281</v>
      </c>
      <c r="E110" s="3">
        <f>C110 * (Inputs!$C$3/12)</f>
        <v>19.903901394798233</v>
      </c>
      <c r="F110" s="6">
        <f t="shared" si="6"/>
        <v>273.58832188612985</v>
      </c>
      <c r="G110" s="6">
        <f t="shared" si="7"/>
        <v>3400.9780894612359</v>
      </c>
      <c r="H110" s="7">
        <f t="shared" si="8"/>
        <v>293.4922232809281</v>
      </c>
    </row>
    <row r="111" spans="1:8" x14ac:dyDescent="0.35">
      <c r="A111" s="2" t="str">
        <f>Inputs!$A$3</f>
        <v>L2</v>
      </c>
      <c r="B111" s="3">
        <v>49</v>
      </c>
      <c r="C111" s="3">
        <f t="shared" si="9"/>
        <v>3400.9780894612359</v>
      </c>
      <c r="D111" s="6">
        <f>-PMT(Inputs!$C$3/12, Inputs!$D$3, Inputs!$B$3)</f>
        <v>293.4922232809281</v>
      </c>
      <c r="E111" s="3">
        <f>C111 * (Inputs!$C$3/12)</f>
        <v>18.421964651248363</v>
      </c>
      <c r="F111" s="6">
        <f t="shared" si="6"/>
        <v>275.07025862967976</v>
      </c>
      <c r="G111" s="6">
        <f t="shared" si="7"/>
        <v>3125.9078308315561</v>
      </c>
      <c r="H111" s="7">
        <f t="shared" si="8"/>
        <v>293.4922232809281</v>
      </c>
    </row>
    <row r="112" spans="1:8" x14ac:dyDescent="0.35">
      <c r="A112" s="2" t="str">
        <f>Inputs!$A$3</f>
        <v>L2</v>
      </c>
      <c r="B112" s="3">
        <v>50</v>
      </c>
      <c r="C112" s="3">
        <f t="shared" si="9"/>
        <v>3125.9078308315561</v>
      </c>
      <c r="D112" s="6">
        <f>-PMT(Inputs!$C$3/12, Inputs!$D$3, Inputs!$B$3)</f>
        <v>293.4922232809281</v>
      </c>
      <c r="E112" s="3">
        <f>C112 * (Inputs!$C$3/12)</f>
        <v>16.932000750337597</v>
      </c>
      <c r="F112" s="6">
        <f t="shared" si="6"/>
        <v>276.56022253059052</v>
      </c>
      <c r="G112" s="6">
        <f t="shared" si="7"/>
        <v>2849.3476083009655</v>
      </c>
      <c r="H112" s="7">
        <f t="shared" si="8"/>
        <v>293.4922232809281</v>
      </c>
    </row>
    <row r="113" spans="1:8" x14ac:dyDescent="0.35">
      <c r="A113" s="2" t="str">
        <f>Inputs!$A$3</f>
        <v>L2</v>
      </c>
      <c r="B113" s="3">
        <v>51</v>
      </c>
      <c r="C113" s="3">
        <f t="shared" si="9"/>
        <v>2849.3476083009655</v>
      </c>
      <c r="D113" s="6">
        <f>-PMT(Inputs!$C$3/12, Inputs!$D$3, Inputs!$B$3)</f>
        <v>293.4922232809281</v>
      </c>
      <c r="E113" s="3">
        <f>C113 * (Inputs!$C$3/12)</f>
        <v>15.43396621163023</v>
      </c>
      <c r="F113" s="6">
        <f t="shared" si="6"/>
        <v>278.05825706929789</v>
      </c>
      <c r="G113" s="6">
        <f t="shared" si="7"/>
        <v>2571.2893512316678</v>
      </c>
      <c r="H113" s="7">
        <f t="shared" si="8"/>
        <v>293.4922232809281</v>
      </c>
    </row>
    <row r="114" spans="1:8" x14ac:dyDescent="0.35">
      <c r="A114" s="2" t="str">
        <f>Inputs!$A$3</f>
        <v>L2</v>
      </c>
      <c r="B114" s="3">
        <v>52</v>
      </c>
      <c r="C114" s="3">
        <f t="shared" si="9"/>
        <v>2571.2893512316678</v>
      </c>
      <c r="D114" s="6">
        <f>-PMT(Inputs!$C$3/12, Inputs!$D$3, Inputs!$B$3)</f>
        <v>293.4922232809281</v>
      </c>
      <c r="E114" s="3">
        <f>C114 * (Inputs!$C$3/12)</f>
        <v>13.927817319171535</v>
      </c>
      <c r="F114" s="6">
        <f t="shared" si="6"/>
        <v>279.56440596175656</v>
      </c>
      <c r="G114" s="6">
        <f t="shared" si="7"/>
        <v>2291.7249452699111</v>
      </c>
      <c r="H114" s="7">
        <f t="shared" si="8"/>
        <v>293.4922232809281</v>
      </c>
    </row>
    <row r="115" spans="1:8" x14ac:dyDescent="0.35">
      <c r="A115" s="2" t="str">
        <f>Inputs!$A$3</f>
        <v>L2</v>
      </c>
      <c r="B115" s="3">
        <v>53</v>
      </c>
      <c r="C115" s="3">
        <f t="shared" si="9"/>
        <v>2291.7249452699111</v>
      </c>
      <c r="D115" s="6">
        <f>-PMT(Inputs!$C$3/12, Inputs!$D$3, Inputs!$B$3)</f>
        <v>293.4922232809281</v>
      </c>
      <c r="E115" s="3">
        <f>C115 * (Inputs!$C$3/12)</f>
        <v>12.413510120212019</v>
      </c>
      <c r="F115" s="6">
        <f t="shared" si="6"/>
        <v>281.07871316071606</v>
      </c>
      <c r="G115" s="6">
        <f t="shared" si="7"/>
        <v>2010.6462321091951</v>
      </c>
      <c r="H115" s="7">
        <f t="shared" si="8"/>
        <v>293.4922232809281</v>
      </c>
    </row>
    <row r="116" spans="1:8" x14ac:dyDescent="0.35">
      <c r="A116" s="2" t="str">
        <f>Inputs!$A$3</f>
        <v>L2</v>
      </c>
      <c r="B116" s="3">
        <v>54</v>
      </c>
      <c r="C116" s="3">
        <f t="shared" si="9"/>
        <v>2010.6462321091951</v>
      </c>
      <c r="D116" s="6">
        <f>-PMT(Inputs!$C$3/12, Inputs!$D$3, Inputs!$B$3)</f>
        <v>293.4922232809281</v>
      </c>
      <c r="E116" s="3">
        <f>C116 * (Inputs!$C$3/12)</f>
        <v>10.891000423924808</v>
      </c>
      <c r="F116" s="6">
        <f t="shared" si="6"/>
        <v>282.60122285700328</v>
      </c>
      <c r="G116" s="6">
        <f t="shared" si="7"/>
        <v>1728.0450092521919</v>
      </c>
      <c r="H116" s="7">
        <f t="shared" si="8"/>
        <v>293.4922232809281</v>
      </c>
    </row>
    <row r="117" spans="1:8" x14ac:dyDescent="0.35">
      <c r="A117" s="2" t="str">
        <f>Inputs!$A$3</f>
        <v>L2</v>
      </c>
      <c r="B117" s="3">
        <v>55</v>
      </c>
      <c r="C117" s="3">
        <f t="shared" si="9"/>
        <v>1728.0450092521919</v>
      </c>
      <c r="D117" s="6">
        <f>-PMT(Inputs!$C$3/12, Inputs!$D$3, Inputs!$B$3)</f>
        <v>293.4922232809281</v>
      </c>
      <c r="E117" s="3">
        <f>C117 * (Inputs!$C$3/12)</f>
        <v>9.3602438001160397</v>
      </c>
      <c r="F117" s="6">
        <f t="shared" si="6"/>
        <v>284.13197948081205</v>
      </c>
      <c r="G117" s="6">
        <f t="shared" si="7"/>
        <v>1443.9130297713798</v>
      </c>
      <c r="H117" s="7">
        <f t="shared" si="8"/>
        <v>293.4922232809281</v>
      </c>
    </row>
    <row r="118" spans="1:8" x14ac:dyDescent="0.35">
      <c r="A118" s="2" t="str">
        <f>Inputs!$A$3</f>
        <v>L2</v>
      </c>
      <c r="B118" s="3">
        <v>56</v>
      </c>
      <c r="C118" s="3">
        <f t="shared" si="9"/>
        <v>1443.9130297713798</v>
      </c>
      <c r="D118" s="6">
        <f>-PMT(Inputs!$C$3/12, Inputs!$D$3, Inputs!$B$3)</f>
        <v>293.4922232809281</v>
      </c>
      <c r="E118" s="3">
        <f>C118 * (Inputs!$C$3/12)</f>
        <v>7.8211955779283073</v>
      </c>
      <c r="F118" s="6">
        <f t="shared" si="6"/>
        <v>285.67102770299982</v>
      </c>
      <c r="G118" s="6">
        <f t="shared" si="7"/>
        <v>1158.2420020683799</v>
      </c>
      <c r="H118" s="7">
        <f t="shared" si="8"/>
        <v>293.4922232809281</v>
      </c>
    </row>
    <row r="119" spans="1:8" x14ac:dyDescent="0.35">
      <c r="A119" s="2" t="str">
        <f>Inputs!$A$3</f>
        <v>L2</v>
      </c>
      <c r="B119" s="3">
        <v>57</v>
      </c>
      <c r="C119" s="3">
        <f t="shared" si="9"/>
        <v>1158.2420020683799</v>
      </c>
      <c r="D119" s="6">
        <f>-PMT(Inputs!$C$3/12, Inputs!$D$3, Inputs!$B$3)</f>
        <v>293.4922232809281</v>
      </c>
      <c r="E119" s="3">
        <f>C119 * (Inputs!$C$3/12)</f>
        <v>6.2738108445370582</v>
      </c>
      <c r="F119" s="6">
        <f t="shared" si="6"/>
        <v>287.21841243639102</v>
      </c>
      <c r="G119" s="6">
        <f t="shared" si="7"/>
        <v>871.0235896319889</v>
      </c>
      <c r="H119" s="7">
        <f t="shared" si="8"/>
        <v>293.4922232809281</v>
      </c>
    </row>
    <row r="120" spans="1:8" x14ac:dyDescent="0.35">
      <c r="A120" s="2" t="str">
        <f>Inputs!$A$3</f>
        <v>L2</v>
      </c>
      <c r="B120" s="3">
        <v>58</v>
      </c>
      <c r="C120" s="3">
        <f t="shared" si="9"/>
        <v>871.0235896319889</v>
      </c>
      <c r="D120" s="6">
        <f>-PMT(Inputs!$C$3/12, Inputs!$D$3, Inputs!$B$3)</f>
        <v>293.4922232809281</v>
      </c>
      <c r="E120" s="3">
        <f>C120 * (Inputs!$C$3/12)</f>
        <v>4.7180444438399398</v>
      </c>
      <c r="F120" s="6">
        <f t="shared" si="6"/>
        <v>288.77417883708819</v>
      </c>
      <c r="G120" s="6">
        <f t="shared" si="7"/>
        <v>582.24941079490077</v>
      </c>
      <c r="H120" s="7">
        <f t="shared" si="8"/>
        <v>293.4922232809281</v>
      </c>
    </row>
    <row r="121" spans="1:8" x14ac:dyDescent="0.35">
      <c r="A121" s="2" t="str">
        <f>Inputs!$A$3</f>
        <v>L2</v>
      </c>
      <c r="B121" s="3">
        <v>59</v>
      </c>
      <c r="C121" s="3">
        <f t="shared" si="9"/>
        <v>582.24941079490077</v>
      </c>
      <c r="D121" s="6">
        <f>-PMT(Inputs!$C$3/12, Inputs!$D$3, Inputs!$B$3)</f>
        <v>293.4922232809281</v>
      </c>
      <c r="E121" s="3">
        <f>C121 * (Inputs!$C$3/12)</f>
        <v>3.1538509751390458</v>
      </c>
      <c r="F121" s="6">
        <f t="shared" si="6"/>
        <v>290.33837230578905</v>
      </c>
      <c r="G121" s="6">
        <f t="shared" si="7"/>
        <v>291.91103848911172</v>
      </c>
      <c r="H121" s="7">
        <f t="shared" si="8"/>
        <v>293.4922232809281</v>
      </c>
    </row>
    <row r="122" spans="1:8" x14ac:dyDescent="0.35">
      <c r="A122" s="2" t="str">
        <f>Inputs!$A$3</f>
        <v>L2</v>
      </c>
      <c r="B122" s="4">
        <v>60</v>
      </c>
      <c r="C122" s="4">
        <f t="shared" si="9"/>
        <v>291.91103848911172</v>
      </c>
      <c r="D122" s="6">
        <f>-PMT(Inputs!$C$3/12, Inputs!$D$3, Inputs!$B$3)</f>
        <v>293.4922232809281</v>
      </c>
      <c r="E122" s="3">
        <f>C122 * (Inputs!$C$3/12)</f>
        <v>1.5811847918160218</v>
      </c>
      <c r="F122" s="6">
        <f t="shared" si="6"/>
        <v>291.91103848911206</v>
      </c>
      <c r="G122" s="6">
        <f t="shared" si="7"/>
        <v>0</v>
      </c>
      <c r="H122" s="8">
        <f t="shared" si="8"/>
        <v>293.4922232809281</v>
      </c>
    </row>
    <row r="124" spans="1:8" x14ac:dyDescent="0.35">
      <c r="A124" s="2" t="str">
        <f>Inputs!$A$4</f>
        <v>L3</v>
      </c>
      <c r="B124" s="3">
        <v>1</v>
      </c>
      <c r="C124" s="3">
        <f>Inputs!$B$4</f>
        <v>30000</v>
      </c>
      <c r="D124" s="6">
        <f>-PMT(Inputs!$C$4/12, Inputs!$D$4, Inputs!$B$4)</f>
        <v>596.87084458205106</v>
      </c>
      <c r="E124" s="3">
        <f>C124 * (Inputs!$C$4/12)</f>
        <v>179.99999999999997</v>
      </c>
      <c r="F124" s="6">
        <f>D124 - E124</f>
        <v>416.87084458205106</v>
      </c>
      <c r="G124" s="6">
        <f>C124 - F124</f>
        <v>29583.129155417948</v>
      </c>
      <c r="H124" s="7">
        <f>D124</f>
        <v>596.87084458205106</v>
      </c>
    </row>
    <row r="125" spans="1:8" x14ac:dyDescent="0.35">
      <c r="A125" s="2" t="str">
        <f>Inputs!$A$4</f>
        <v>L3</v>
      </c>
      <c r="B125" s="3">
        <v>2</v>
      </c>
      <c r="C125" s="3">
        <f>G124</f>
        <v>29583.129155417948</v>
      </c>
      <c r="D125" s="6">
        <f>-PMT(Inputs!$C$4/12, Inputs!$D$4, Inputs!$B$4)</f>
        <v>596.87084458205106</v>
      </c>
      <c r="E125" s="3">
        <f>C125 * (Inputs!$C$4/12)</f>
        <v>177.49877493250767</v>
      </c>
      <c r="F125" s="6">
        <f>D125 - E125</f>
        <v>419.37206964954339</v>
      </c>
      <c r="G125" s="6">
        <f t="shared" ref="G125:G183" si="10">C125 - F125</f>
        <v>29163.757085768404</v>
      </c>
      <c r="H125" s="7">
        <f t="shared" ref="H125:H182" si="11">D125</f>
        <v>596.87084458205106</v>
      </c>
    </row>
    <row r="126" spans="1:8" x14ac:dyDescent="0.35">
      <c r="A126" s="2" t="str">
        <f>Inputs!$A$4</f>
        <v>L3</v>
      </c>
      <c r="B126" s="3">
        <v>3</v>
      </c>
      <c r="C126" s="3">
        <f t="shared" ref="C126:C183" si="12">G125</f>
        <v>29163.757085768404</v>
      </c>
      <c r="D126" s="6">
        <f>-PMT(Inputs!$C$4/12, Inputs!$D$4, Inputs!$B$4)</f>
        <v>596.87084458205106</v>
      </c>
      <c r="E126" s="3">
        <f>C126 * (Inputs!$C$4/12)</f>
        <v>174.9825425146104</v>
      </c>
      <c r="F126" s="6">
        <f t="shared" ref="F126:F181" si="13">D126 - E126</f>
        <v>421.88830206744069</v>
      </c>
      <c r="G126" s="6">
        <f t="shared" si="10"/>
        <v>28741.868783700964</v>
      </c>
      <c r="H126" s="7">
        <f t="shared" si="11"/>
        <v>596.87084458205106</v>
      </c>
    </row>
    <row r="127" spans="1:8" x14ac:dyDescent="0.35">
      <c r="A127" s="2" t="str">
        <f>Inputs!$A$4</f>
        <v>L3</v>
      </c>
      <c r="B127" s="3">
        <v>4</v>
      </c>
      <c r="C127" s="3">
        <f t="shared" si="12"/>
        <v>28741.868783700964</v>
      </c>
      <c r="D127" s="6">
        <f>-PMT(Inputs!$C$4/12, Inputs!$D$4, Inputs!$B$4)</f>
        <v>596.87084458205106</v>
      </c>
      <c r="E127" s="3">
        <f>C127 * (Inputs!$C$4/12)</f>
        <v>172.45121270220577</v>
      </c>
      <c r="F127" s="6">
        <f t="shared" si="13"/>
        <v>424.41963187984527</v>
      </c>
      <c r="G127" s="6">
        <f t="shared" si="10"/>
        <v>28317.449151821118</v>
      </c>
      <c r="H127" s="7">
        <f t="shared" si="11"/>
        <v>596.87084458205106</v>
      </c>
    </row>
    <row r="128" spans="1:8" x14ac:dyDescent="0.35">
      <c r="A128" s="2" t="str">
        <f>Inputs!$A$4</f>
        <v>L3</v>
      </c>
      <c r="B128" s="3">
        <v>5</v>
      </c>
      <c r="C128" s="3">
        <f t="shared" si="12"/>
        <v>28317.449151821118</v>
      </c>
      <c r="D128" s="6">
        <f>-PMT(Inputs!$C$4/12, Inputs!$D$4, Inputs!$B$4)</f>
        <v>596.87084458205106</v>
      </c>
      <c r="E128" s="3">
        <f>C128 * (Inputs!$C$4/12)</f>
        <v>169.90469491092668</v>
      </c>
      <c r="F128" s="6">
        <f t="shared" si="13"/>
        <v>426.96614967112441</v>
      </c>
      <c r="G128" s="6">
        <f t="shared" si="10"/>
        <v>27890.483002149995</v>
      </c>
      <c r="H128" s="7">
        <f t="shared" si="11"/>
        <v>596.87084458205106</v>
      </c>
    </row>
    <row r="129" spans="1:8" x14ac:dyDescent="0.35">
      <c r="A129" s="2" t="str">
        <f>Inputs!$A$4</f>
        <v>L3</v>
      </c>
      <c r="B129" s="3">
        <v>6</v>
      </c>
      <c r="C129" s="3">
        <f t="shared" si="12"/>
        <v>27890.483002149995</v>
      </c>
      <c r="D129" s="6">
        <f>-PMT(Inputs!$C$4/12, Inputs!$D$4, Inputs!$B$4)</f>
        <v>596.87084458205106</v>
      </c>
      <c r="E129" s="3">
        <f>C129 * (Inputs!$C$4/12)</f>
        <v>167.34289801289995</v>
      </c>
      <c r="F129" s="6">
        <f t="shared" si="13"/>
        <v>429.52794656915114</v>
      </c>
      <c r="G129" s="6">
        <f t="shared" si="10"/>
        <v>27460.955055580842</v>
      </c>
      <c r="H129" s="7">
        <f t="shared" si="11"/>
        <v>596.87084458205106</v>
      </c>
    </row>
    <row r="130" spans="1:8" x14ac:dyDescent="0.35">
      <c r="A130" s="2" t="str">
        <f>Inputs!$A$4</f>
        <v>L3</v>
      </c>
      <c r="B130" s="3">
        <v>7</v>
      </c>
      <c r="C130" s="3">
        <f t="shared" si="12"/>
        <v>27460.955055580842</v>
      </c>
      <c r="D130" s="6">
        <f>-PMT(Inputs!$C$4/12, Inputs!$D$4, Inputs!$B$4)</f>
        <v>596.87084458205106</v>
      </c>
      <c r="E130" s="3">
        <f>C130 * (Inputs!$C$4/12)</f>
        <v>164.76573033348504</v>
      </c>
      <c r="F130" s="6">
        <f t="shared" si="13"/>
        <v>432.105114248566</v>
      </c>
      <c r="G130" s="6">
        <f t="shared" si="10"/>
        <v>27028.849941332275</v>
      </c>
      <c r="H130" s="7">
        <f t="shared" si="11"/>
        <v>596.87084458205106</v>
      </c>
    </row>
    <row r="131" spans="1:8" x14ac:dyDescent="0.35">
      <c r="A131" s="2" t="str">
        <f>Inputs!$A$4</f>
        <v>L3</v>
      </c>
      <c r="B131" s="3">
        <v>8</v>
      </c>
      <c r="C131" s="3">
        <f t="shared" si="12"/>
        <v>27028.849941332275</v>
      </c>
      <c r="D131" s="6">
        <f>-PMT(Inputs!$C$4/12, Inputs!$D$4, Inputs!$B$4)</f>
        <v>596.87084458205106</v>
      </c>
      <c r="E131" s="3">
        <f>C131 * (Inputs!$C$4/12)</f>
        <v>162.17309964799364</v>
      </c>
      <c r="F131" s="6">
        <f t="shared" si="13"/>
        <v>434.69774493405743</v>
      </c>
      <c r="G131" s="6">
        <f t="shared" si="10"/>
        <v>26594.15219639822</v>
      </c>
      <c r="H131" s="7">
        <f t="shared" si="11"/>
        <v>596.87084458205106</v>
      </c>
    </row>
    <row r="132" spans="1:8" x14ac:dyDescent="0.35">
      <c r="A132" s="2" t="str">
        <f>Inputs!$A$4</f>
        <v>L3</v>
      </c>
      <c r="B132" s="3">
        <v>9</v>
      </c>
      <c r="C132" s="3">
        <f t="shared" si="12"/>
        <v>26594.15219639822</v>
      </c>
      <c r="D132" s="6">
        <f>-PMT(Inputs!$C$4/12, Inputs!$D$4, Inputs!$B$4)</f>
        <v>596.87084458205106</v>
      </c>
      <c r="E132" s="3">
        <f>C132 * (Inputs!$C$4/12)</f>
        <v>159.5649131783893</v>
      </c>
      <c r="F132" s="6">
        <f t="shared" si="13"/>
        <v>437.30593140366176</v>
      </c>
      <c r="G132" s="6">
        <f t="shared" si="10"/>
        <v>26156.846264994558</v>
      </c>
      <c r="H132" s="7">
        <f t="shared" si="11"/>
        <v>596.87084458205106</v>
      </c>
    </row>
    <row r="133" spans="1:8" x14ac:dyDescent="0.35">
      <c r="A133" s="2" t="str">
        <f>Inputs!$A$4</f>
        <v>L3</v>
      </c>
      <c r="B133" s="3">
        <v>10</v>
      </c>
      <c r="C133" s="3">
        <f t="shared" si="12"/>
        <v>26156.846264994558</v>
      </c>
      <c r="D133" s="6">
        <f>-PMT(Inputs!$C$4/12, Inputs!$D$4, Inputs!$B$4)</f>
        <v>596.87084458205106</v>
      </c>
      <c r="E133" s="3">
        <f>C133 * (Inputs!$C$4/12)</f>
        <v>156.94107758996734</v>
      </c>
      <c r="F133" s="6">
        <f t="shared" si="13"/>
        <v>439.92976699208373</v>
      </c>
      <c r="G133" s="6">
        <f t="shared" si="10"/>
        <v>25716.916498002473</v>
      </c>
      <c r="H133" s="7">
        <f t="shared" si="11"/>
        <v>596.87084458205106</v>
      </c>
    </row>
    <row r="134" spans="1:8" x14ac:dyDescent="0.35">
      <c r="A134" s="2" t="str">
        <f>Inputs!$A$4</f>
        <v>L3</v>
      </c>
      <c r="B134" s="3">
        <v>11</v>
      </c>
      <c r="C134" s="3">
        <f t="shared" si="12"/>
        <v>25716.916498002473</v>
      </c>
      <c r="D134" s="6">
        <f>-PMT(Inputs!$C$4/12, Inputs!$D$4, Inputs!$B$4)</f>
        <v>596.87084458205106</v>
      </c>
      <c r="E134" s="3">
        <f>C134 * (Inputs!$C$4/12)</f>
        <v>154.30149898801483</v>
      </c>
      <c r="F134" s="6">
        <f t="shared" si="13"/>
        <v>442.56934559403624</v>
      </c>
      <c r="G134" s="6">
        <f t="shared" si="10"/>
        <v>25274.347152408438</v>
      </c>
      <c r="H134" s="7">
        <f t="shared" si="11"/>
        <v>596.87084458205106</v>
      </c>
    </row>
    <row r="135" spans="1:8" x14ac:dyDescent="0.35">
      <c r="A135" s="2" t="str">
        <f>Inputs!$A$4</f>
        <v>L3</v>
      </c>
      <c r="B135" s="3">
        <v>12</v>
      </c>
      <c r="C135" s="3">
        <f t="shared" si="12"/>
        <v>25274.347152408438</v>
      </c>
      <c r="D135" s="6">
        <f>-PMT(Inputs!$C$4/12, Inputs!$D$4, Inputs!$B$4)</f>
        <v>596.87084458205106</v>
      </c>
      <c r="E135" s="3">
        <f>C135 * (Inputs!$C$4/12)</f>
        <v>151.6460829144506</v>
      </c>
      <c r="F135" s="6">
        <f t="shared" si="13"/>
        <v>445.22476166760043</v>
      </c>
      <c r="G135" s="6">
        <f t="shared" si="10"/>
        <v>24829.122390740838</v>
      </c>
      <c r="H135" s="7">
        <f t="shared" si="11"/>
        <v>596.87084458205106</v>
      </c>
    </row>
    <row r="136" spans="1:8" x14ac:dyDescent="0.35">
      <c r="A136" s="2" t="str">
        <f>Inputs!$A$4</f>
        <v>L3</v>
      </c>
      <c r="B136" s="3">
        <v>13</v>
      </c>
      <c r="C136" s="3">
        <f t="shared" si="12"/>
        <v>24829.122390740838</v>
      </c>
      <c r="D136" s="6">
        <f>-PMT(Inputs!$C$4/12, Inputs!$D$4, Inputs!$B$4)</f>
        <v>596.87084458205106</v>
      </c>
      <c r="E136" s="3">
        <f>C136 * (Inputs!$C$4/12)</f>
        <v>148.97473434444501</v>
      </c>
      <c r="F136" s="6">
        <f t="shared" si="13"/>
        <v>447.89611023760608</v>
      </c>
      <c r="G136" s="6">
        <f t="shared" si="10"/>
        <v>24381.226280503233</v>
      </c>
      <c r="H136" s="7">
        <f t="shared" si="11"/>
        <v>596.87084458205106</v>
      </c>
    </row>
    <row r="137" spans="1:8" x14ac:dyDescent="0.35">
      <c r="A137" s="2" t="str">
        <f>Inputs!$A$4</f>
        <v>L3</v>
      </c>
      <c r="B137" s="3">
        <v>14</v>
      </c>
      <c r="C137" s="3">
        <f t="shared" si="12"/>
        <v>24381.226280503233</v>
      </c>
      <c r="D137" s="6">
        <f>-PMT(Inputs!$C$4/12, Inputs!$D$4, Inputs!$B$4)</f>
        <v>596.87084458205106</v>
      </c>
      <c r="E137" s="3">
        <f>C137 * (Inputs!$C$4/12)</f>
        <v>146.28735768301939</v>
      </c>
      <c r="F137" s="6">
        <f t="shared" si="13"/>
        <v>450.58348689903164</v>
      </c>
      <c r="G137" s="6">
        <f t="shared" si="10"/>
        <v>23930.642793604202</v>
      </c>
      <c r="H137" s="7">
        <f t="shared" si="11"/>
        <v>596.87084458205106</v>
      </c>
    </row>
    <row r="138" spans="1:8" x14ac:dyDescent="0.35">
      <c r="A138" s="2" t="str">
        <f>Inputs!$A$4</f>
        <v>L3</v>
      </c>
      <c r="B138" s="3">
        <v>15</v>
      </c>
      <c r="C138" s="3">
        <f t="shared" si="12"/>
        <v>23930.642793604202</v>
      </c>
      <c r="D138" s="6">
        <f>-PMT(Inputs!$C$4/12, Inputs!$D$4, Inputs!$B$4)</f>
        <v>596.87084458205106</v>
      </c>
      <c r="E138" s="3">
        <f>C138 * (Inputs!$C$4/12)</f>
        <v>143.58385676162519</v>
      </c>
      <c r="F138" s="6">
        <f t="shared" si="13"/>
        <v>453.28698782042591</v>
      </c>
      <c r="G138" s="6">
        <f t="shared" si="10"/>
        <v>23477.355805783776</v>
      </c>
      <c r="H138" s="7">
        <f t="shared" si="11"/>
        <v>596.87084458205106</v>
      </c>
    </row>
    <row r="139" spans="1:8" x14ac:dyDescent="0.35">
      <c r="A139" s="2" t="str">
        <f>Inputs!$A$4</f>
        <v>L3</v>
      </c>
      <c r="B139" s="3">
        <v>16</v>
      </c>
      <c r="C139" s="3">
        <f t="shared" si="12"/>
        <v>23477.355805783776</v>
      </c>
      <c r="D139" s="6">
        <f>-PMT(Inputs!$C$4/12, Inputs!$D$4, Inputs!$B$4)</f>
        <v>596.87084458205106</v>
      </c>
      <c r="E139" s="3">
        <f>C139 * (Inputs!$C$4/12)</f>
        <v>140.86413483470264</v>
      </c>
      <c r="F139" s="6">
        <f t="shared" si="13"/>
        <v>456.0067097473484</v>
      </c>
      <c r="G139" s="6">
        <f t="shared" si="10"/>
        <v>23021.349096036429</v>
      </c>
      <c r="H139" s="7">
        <f t="shared" si="11"/>
        <v>596.87084458205106</v>
      </c>
    </row>
    <row r="140" spans="1:8" x14ac:dyDescent="0.35">
      <c r="A140" s="2" t="str">
        <f>Inputs!$A$4</f>
        <v>L3</v>
      </c>
      <c r="B140" s="3">
        <v>17</v>
      </c>
      <c r="C140" s="3">
        <f t="shared" si="12"/>
        <v>23021.349096036429</v>
      </c>
      <c r="D140" s="6">
        <f>-PMT(Inputs!$C$4/12, Inputs!$D$4, Inputs!$B$4)</f>
        <v>596.87084458205106</v>
      </c>
      <c r="E140" s="3">
        <f>C140 * (Inputs!$C$4/12)</f>
        <v>138.12809457621856</v>
      </c>
      <c r="F140" s="6">
        <f t="shared" si="13"/>
        <v>458.74275000583248</v>
      </c>
      <c r="G140" s="6">
        <f t="shared" si="10"/>
        <v>22562.606346030596</v>
      </c>
      <c r="H140" s="7">
        <f t="shared" si="11"/>
        <v>596.87084458205106</v>
      </c>
    </row>
    <row r="141" spans="1:8" x14ac:dyDescent="0.35">
      <c r="A141" s="2" t="str">
        <f>Inputs!$A$4</f>
        <v>L3</v>
      </c>
      <c r="B141" s="3">
        <v>18</v>
      </c>
      <c r="C141" s="3">
        <f t="shared" si="12"/>
        <v>22562.606346030596</v>
      </c>
      <c r="D141" s="6">
        <f>-PMT(Inputs!$C$4/12, Inputs!$D$4, Inputs!$B$4)</f>
        <v>596.87084458205106</v>
      </c>
      <c r="E141" s="3">
        <f>C141 * (Inputs!$C$4/12)</f>
        <v>135.37563807618355</v>
      </c>
      <c r="F141" s="6">
        <f t="shared" si="13"/>
        <v>461.49520650586749</v>
      </c>
      <c r="G141" s="6">
        <f t="shared" si="10"/>
        <v>22101.111139524728</v>
      </c>
      <c r="H141" s="7">
        <f t="shared" si="11"/>
        <v>596.87084458205106</v>
      </c>
    </row>
    <row r="142" spans="1:8" x14ac:dyDescent="0.35">
      <c r="A142" s="2" t="str">
        <f>Inputs!$A$4</f>
        <v>L3</v>
      </c>
      <c r="B142" s="3">
        <v>19</v>
      </c>
      <c r="C142" s="3">
        <f t="shared" si="12"/>
        <v>22101.111139524728</v>
      </c>
      <c r="D142" s="6">
        <f>-PMT(Inputs!$C$4/12, Inputs!$D$4, Inputs!$B$4)</f>
        <v>596.87084458205106</v>
      </c>
      <c r="E142" s="3">
        <f>C142 * (Inputs!$C$4/12)</f>
        <v>132.60666683714834</v>
      </c>
      <c r="F142" s="6">
        <f t="shared" si="13"/>
        <v>464.26417774490272</v>
      </c>
      <c r="G142" s="6">
        <f t="shared" si="10"/>
        <v>21636.846961779826</v>
      </c>
      <c r="H142" s="7">
        <f t="shared" si="11"/>
        <v>596.87084458205106</v>
      </c>
    </row>
    <row r="143" spans="1:8" x14ac:dyDescent="0.35">
      <c r="A143" s="2" t="str">
        <f>Inputs!$A$4</f>
        <v>L3</v>
      </c>
      <c r="B143" s="3">
        <v>20</v>
      </c>
      <c r="C143" s="3">
        <f t="shared" si="12"/>
        <v>21636.846961779826</v>
      </c>
      <c r="D143" s="6">
        <f>-PMT(Inputs!$C$4/12, Inputs!$D$4, Inputs!$B$4)</f>
        <v>596.87084458205106</v>
      </c>
      <c r="E143" s="3">
        <f>C143 * (Inputs!$C$4/12)</f>
        <v>129.82108177067894</v>
      </c>
      <c r="F143" s="6">
        <f t="shared" si="13"/>
        <v>467.04976281137215</v>
      </c>
      <c r="G143" s="6">
        <f t="shared" si="10"/>
        <v>21169.797198968452</v>
      </c>
      <c r="H143" s="7">
        <f t="shared" si="11"/>
        <v>596.87084458205106</v>
      </c>
    </row>
    <row r="144" spans="1:8" x14ac:dyDescent="0.35">
      <c r="A144" s="2" t="str">
        <f>Inputs!$A$4</f>
        <v>L3</v>
      </c>
      <c r="B144" s="3">
        <v>21</v>
      </c>
      <c r="C144" s="3">
        <f t="shared" si="12"/>
        <v>21169.797198968452</v>
      </c>
      <c r="D144" s="6">
        <f>-PMT(Inputs!$C$4/12, Inputs!$D$4, Inputs!$B$4)</f>
        <v>596.87084458205106</v>
      </c>
      <c r="E144" s="3">
        <f>C144 * (Inputs!$C$4/12)</f>
        <v>127.01878319381069</v>
      </c>
      <c r="F144" s="6">
        <f t="shared" si="13"/>
        <v>469.85206138824037</v>
      </c>
      <c r="G144" s="6">
        <f t="shared" si="10"/>
        <v>20699.945137580213</v>
      </c>
      <c r="H144" s="7">
        <f t="shared" si="11"/>
        <v>596.87084458205106</v>
      </c>
    </row>
    <row r="145" spans="1:8" x14ac:dyDescent="0.35">
      <c r="A145" s="2" t="str">
        <f>Inputs!$A$4</f>
        <v>L3</v>
      </c>
      <c r="B145" s="3">
        <v>22</v>
      </c>
      <c r="C145" s="3">
        <f t="shared" si="12"/>
        <v>20699.945137580213</v>
      </c>
      <c r="D145" s="6">
        <f>-PMT(Inputs!$C$4/12, Inputs!$D$4, Inputs!$B$4)</f>
        <v>596.87084458205106</v>
      </c>
      <c r="E145" s="3">
        <f>C145 * (Inputs!$C$4/12)</f>
        <v>124.19967082548126</v>
      </c>
      <c r="F145" s="6">
        <f t="shared" si="13"/>
        <v>472.67117375656983</v>
      </c>
      <c r="G145" s="6">
        <f t="shared" si="10"/>
        <v>20227.273963823642</v>
      </c>
      <c r="H145" s="7">
        <f t="shared" si="11"/>
        <v>596.87084458205106</v>
      </c>
    </row>
    <row r="146" spans="1:8" x14ac:dyDescent="0.35">
      <c r="A146" s="2" t="str">
        <f>Inputs!$A$4</f>
        <v>L3</v>
      </c>
      <c r="B146" s="3">
        <v>23</v>
      </c>
      <c r="C146" s="3">
        <f t="shared" si="12"/>
        <v>20227.273963823642</v>
      </c>
      <c r="D146" s="6">
        <f>-PMT(Inputs!$C$4/12, Inputs!$D$4, Inputs!$B$4)</f>
        <v>596.87084458205106</v>
      </c>
      <c r="E146" s="3">
        <f>C146 * (Inputs!$C$4/12)</f>
        <v>121.36364378294184</v>
      </c>
      <c r="F146" s="6">
        <f t="shared" si="13"/>
        <v>475.50720079910923</v>
      </c>
      <c r="G146" s="6">
        <f t="shared" si="10"/>
        <v>19751.766763024534</v>
      </c>
      <c r="H146" s="7">
        <f t="shared" si="11"/>
        <v>596.87084458205106</v>
      </c>
    </row>
    <row r="147" spans="1:8" x14ac:dyDescent="0.35">
      <c r="A147" s="2" t="str">
        <f>Inputs!$A$4</f>
        <v>L3</v>
      </c>
      <c r="B147" s="3">
        <v>24</v>
      </c>
      <c r="C147" s="3">
        <f t="shared" si="12"/>
        <v>19751.766763024534</v>
      </c>
      <c r="D147" s="6">
        <f>-PMT(Inputs!$C$4/12, Inputs!$D$4, Inputs!$B$4)</f>
        <v>596.87084458205106</v>
      </c>
      <c r="E147" s="3">
        <f>C147 * (Inputs!$C$4/12)</f>
        <v>118.51060057814719</v>
      </c>
      <c r="F147" s="6">
        <f t="shared" si="13"/>
        <v>478.36024400390386</v>
      </c>
      <c r="G147" s="6">
        <f t="shared" si="10"/>
        <v>19273.406519020631</v>
      </c>
      <c r="H147" s="7">
        <f t="shared" si="11"/>
        <v>596.87084458205106</v>
      </c>
    </row>
    <row r="148" spans="1:8" x14ac:dyDescent="0.35">
      <c r="A148" s="2" t="str">
        <f>Inputs!$A$4</f>
        <v>L3</v>
      </c>
      <c r="B148" s="3">
        <v>25</v>
      </c>
      <c r="C148" s="3">
        <f t="shared" si="12"/>
        <v>19273.406519020631</v>
      </c>
      <c r="D148" s="6">
        <f>-PMT(Inputs!$C$4/12, Inputs!$D$4, Inputs!$B$4)</f>
        <v>596.87084458205106</v>
      </c>
      <c r="E148" s="3">
        <f>C148 * (Inputs!$C$4/12)</f>
        <v>115.64043911412377</v>
      </c>
      <c r="F148" s="6">
        <f t="shared" si="13"/>
        <v>481.23040546792731</v>
      </c>
      <c r="G148" s="6">
        <f t="shared" si="10"/>
        <v>18792.176113552705</v>
      </c>
      <c r="H148" s="7">
        <f t="shared" si="11"/>
        <v>596.87084458205106</v>
      </c>
    </row>
    <row r="149" spans="1:8" x14ac:dyDescent="0.35">
      <c r="A149" s="2" t="str">
        <f>Inputs!$A$4</f>
        <v>L3</v>
      </c>
      <c r="B149" s="3">
        <v>26</v>
      </c>
      <c r="C149" s="3">
        <f t="shared" si="12"/>
        <v>18792.176113552705</v>
      </c>
      <c r="D149" s="6">
        <f>-PMT(Inputs!$C$4/12, Inputs!$D$4, Inputs!$B$4)</f>
        <v>596.87084458205106</v>
      </c>
      <c r="E149" s="3">
        <f>C149 * (Inputs!$C$4/12)</f>
        <v>112.75305668131621</v>
      </c>
      <c r="F149" s="6">
        <f t="shared" si="13"/>
        <v>484.11778790073487</v>
      </c>
      <c r="G149" s="6">
        <f t="shared" si="10"/>
        <v>18308.058325651971</v>
      </c>
      <c r="H149" s="7">
        <f t="shared" si="11"/>
        <v>596.87084458205106</v>
      </c>
    </row>
    <row r="150" spans="1:8" x14ac:dyDescent="0.35">
      <c r="A150" s="2" t="str">
        <f>Inputs!$A$4</f>
        <v>L3</v>
      </c>
      <c r="B150" s="3">
        <v>27</v>
      </c>
      <c r="C150" s="3">
        <f t="shared" si="12"/>
        <v>18308.058325651971</v>
      </c>
      <c r="D150" s="6">
        <f>-PMT(Inputs!$C$4/12, Inputs!$D$4, Inputs!$B$4)</f>
        <v>596.87084458205106</v>
      </c>
      <c r="E150" s="3">
        <f>C150 * (Inputs!$C$4/12)</f>
        <v>109.84834995391181</v>
      </c>
      <c r="F150" s="6">
        <f t="shared" si="13"/>
        <v>487.02249462813927</v>
      </c>
      <c r="G150" s="6">
        <f t="shared" si="10"/>
        <v>17821.035831023833</v>
      </c>
      <c r="H150" s="7">
        <f t="shared" si="11"/>
        <v>596.87084458205106</v>
      </c>
    </row>
    <row r="151" spans="1:8" x14ac:dyDescent="0.35">
      <c r="A151" s="2" t="str">
        <f>Inputs!$A$4</f>
        <v>L3</v>
      </c>
      <c r="B151" s="3">
        <v>28</v>
      </c>
      <c r="C151" s="3">
        <f t="shared" si="12"/>
        <v>17821.035831023833</v>
      </c>
      <c r="D151" s="6">
        <f>-PMT(Inputs!$C$4/12, Inputs!$D$4, Inputs!$B$4)</f>
        <v>596.87084458205106</v>
      </c>
      <c r="E151" s="3">
        <f>C151 * (Inputs!$C$4/12)</f>
        <v>106.92621498614298</v>
      </c>
      <c r="F151" s="6">
        <f t="shared" si="13"/>
        <v>489.94462959590805</v>
      </c>
      <c r="G151" s="6">
        <f t="shared" si="10"/>
        <v>17331.091201427924</v>
      </c>
      <c r="H151" s="7">
        <f t="shared" si="11"/>
        <v>596.87084458205106</v>
      </c>
    </row>
    <row r="152" spans="1:8" x14ac:dyDescent="0.35">
      <c r="A152" s="2" t="str">
        <f>Inputs!$A$4</f>
        <v>L3</v>
      </c>
      <c r="B152" s="3">
        <v>29</v>
      </c>
      <c r="C152" s="3">
        <f t="shared" si="12"/>
        <v>17331.091201427924</v>
      </c>
      <c r="D152" s="6">
        <f>-PMT(Inputs!$C$4/12, Inputs!$D$4, Inputs!$B$4)</f>
        <v>596.87084458205106</v>
      </c>
      <c r="E152" s="3">
        <f>C152 * (Inputs!$C$4/12)</f>
        <v>103.98654720856753</v>
      </c>
      <c r="F152" s="6">
        <f t="shared" si="13"/>
        <v>492.88429737348355</v>
      </c>
      <c r="G152" s="6">
        <f t="shared" si="10"/>
        <v>16838.206904054441</v>
      </c>
      <c r="H152" s="7">
        <f t="shared" si="11"/>
        <v>596.87084458205106</v>
      </c>
    </row>
    <row r="153" spans="1:8" x14ac:dyDescent="0.35">
      <c r="A153" s="2" t="str">
        <f>Inputs!$A$4</f>
        <v>L3</v>
      </c>
      <c r="B153" s="3">
        <v>30</v>
      </c>
      <c r="C153" s="3">
        <f t="shared" si="12"/>
        <v>16838.206904054441</v>
      </c>
      <c r="D153" s="6">
        <f>-PMT(Inputs!$C$4/12, Inputs!$D$4, Inputs!$B$4)</f>
        <v>596.87084458205106</v>
      </c>
      <c r="E153" s="3">
        <f>C153 * (Inputs!$C$4/12)</f>
        <v>101.02924142432663</v>
      </c>
      <c r="F153" s="6">
        <f t="shared" si="13"/>
        <v>495.84160315772442</v>
      </c>
      <c r="G153" s="6">
        <f t="shared" si="10"/>
        <v>16342.365300896716</v>
      </c>
      <c r="H153" s="7">
        <f t="shared" si="11"/>
        <v>596.87084458205106</v>
      </c>
    </row>
    <row r="154" spans="1:8" x14ac:dyDescent="0.35">
      <c r="A154" s="2" t="str">
        <f>Inputs!$A$4</f>
        <v>L3</v>
      </c>
      <c r="B154" s="3">
        <v>31</v>
      </c>
      <c r="C154" s="3">
        <f t="shared" si="12"/>
        <v>16342.365300896716</v>
      </c>
      <c r="D154" s="6">
        <f>-PMT(Inputs!$C$4/12, Inputs!$D$4, Inputs!$B$4)</f>
        <v>596.87084458205106</v>
      </c>
      <c r="E154" s="3">
        <f>C154 * (Inputs!$C$4/12)</f>
        <v>98.054191805380285</v>
      </c>
      <c r="F154" s="6">
        <f t="shared" si="13"/>
        <v>498.81665277667076</v>
      </c>
      <c r="G154" s="6">
        <f t="shared" si="10"/>
        <v>15843.548648120044</v>
      </c>
      <c r="H154" s="7">
        <f t="shared" si="11"/>
        <v>596.87084458205106</v>
      </c>
    </row>
    <row r="155" spans="1:8" x14ac:dyDescent="0.35">
      <c r="A155" s="2" t="str">
        <f>Inputs!$A$4</f>
        <v>L3</v>
      </c>
      <c r="B155" s="3">
        <v>32</v>
      </c>
      <c r="C155" s="3">
        <f t="shared" si="12"/>
        <v>15843.548648120044</v>
      </c>
      <c r="D155" s="6">
        <f>-PMT(Inputs!$C$4/12, Inputs!$D$4, Inputs!$B$4)</f>
        <v>596.87084458205106</v>
      </c>
      <c r="E155" s="3">
        <f>C155 * (Inputs!$C$4/12)</f>
        <v>95.061291888720248</v>
      </c>
      <c r="F155" s="6">
        <f t="shared" si="13"/>
        <v>501.80955269333083</v>
      </c>
      <c r="G155" s="6">
        <f t="shared" si="10"/>
        <v>15341.739095426714</v>
      </c>
      <c r="H155" s="7">
        <f t="shared" si="11"/>
        <v>596.87084458205106</v>
      </c>
    </row>
    <row r="156" spans="1:8" x14ac:dyDescent="0.35">
      <c r="A156" s="2" t="str">
        <f>Inputs!$A$4</f>
        <v>L3</v>
      </c>
      <c r="B156" s="3">
        <v>33</v>
      </c>
      <c r="C156" s="3">
        <f t="shared" si="12"/>
        <v>15341.739095426714</v>
      </c>
      <c r="D156" s="6">
        <f>-PMT(Inputs!$C$4/12, Inputs!$D$4, Inputs!$B$4)</f>
        <v>596.87084458205106</v>
      </c>
      <c r="E156" s="3">
        <f>C156 * (Inputs!$C$4/12)</f>
        <v>92.050434572560278</v>
      </c>
      <c r="F156" s="6">
        <f t="shared" si="13"/>
        <v>504.82041000949079</v>
      </c>
      <c r="G156" s="6">
        <f t="shared" si="10"/>
        <v>14836.918685417224</v>
      </c>
      <c r="H156" s="7">
        <f t="shared" si="11"/>
        <v>596.87084458205106</v>
      </c>
    </row>
    <row r="157" spans="1:8" x14ac:dyDescent="0.35">
      <c r="A157" s="2" t="str">
        <f>Inputs!$A$4</f>
        <v>L3</v>
      </c>
      <c r="B157" s="3">
        <v>34</v>
      </c>
      <c r="C157" s="3">
        <f t="shared" si="12"/>
        <v>14836.918685417224</v>
      </c>
      <c r="D157" s="6">
        <f>-PMT(Inputs!$C$4/12, Inputs!$D$4, Inputs!$B$4)</f>
        <v>596.87084458205106</v>
      </c>
      <c r="E157" s="3">
        <f>C157 * (Inputs!$C$4/12)</f>
        <v>89.021512112503331</v>
      </c>
      <c r="F157" s="6">
        <f t="shared" si="13"/>
        <v>507.84933246954773</v>
      </c>
      <c r="G157" s="6">
        <f t="shared" si="10"/>
        <v>14329.069352947676</v>
      </c>
      <c r="H157" s="7">
        <f t="shared" si="11"/>
        <v>596.87084458205106</v>
      </c>
    </row>
    <row r="158" spans="1:8" x14ac:dyDescent="0.35">
      <c r="A158" s="2" t="str">
        <f>Inputs!$A$4</f>
        <v>L3</v>
      </c>
      <c r="B158" s="3">
        <v>35</v>
      </c>
      <c r="C158" s="3">
        <f t="shared" si="12"/>
        <v>14329.069352947676</v>
      </c>
      <c r="D158" s="6">
        <f>-PMT(Inputs!$C$4/12, Inputs!$D$4, Inputs!$B$4)</f>
        <v>596.87084458205106</v>
      </c>
      <c r="E158" s="3">
        <f>C158 * (Inputs!$C$4/12)</f>
        <v>85.974416117686047</v>
      </c>
      <c r="F158" s="6">
        <f t="shared" si="13"/>
        <v>510.89642846436504</v>
      </c>
      <c r="G158" s="6">
        <f t="shared" si="10"/>
        <v>13818.172924483311</v>
      </c>
      <c r="H158" s="7">
        <f t="shared" si="11"/>
        <v>596.87084458205106</v>
      </c>
    </row>
    <row r="159" spans="1:8" x14ac:dyDescent="0.35">
      <c r="A159" s="2" t="str">
        <f>Inputs!$A$4</f>
        <v>L3</v>
      </c>
      <c r="B159" s="3">
        <v>36</v>
      </c>
      <c r="C159" s="3">
        <f t="shared" si="12"/>
        <v>13818.172924483311</v>
      </c>
      <c r="D159" s="6">
        <f>-PMT(Inputs!$C$4/12, Inputs!$D$4, Inputs!$B$4)</f>
        <v>596.87084458205106</v>
      </c>
      <c r="E159" s="3">
        <f>C159 * (Inputs!$C$4/12)</f>
        <v>82.909037546899853</v>
      </c>
      <c r="F159" s="6">
        <f t="shared" si="13"/>
        <v>513.9618070351512</v>
      </c>
      <c r="G159" s="6">
        <f t="shared" si="10"/>
        <v>13304.21111744816</v>
      </c>
      <c r="H159" s="7">
        <f t="shared" si="11"/>
        <v>596.87084458205106</v>
      </c>
    </row>
    <row r="160" spans="1:8" x14ac:dyDescent="0.35">
      <c r="A160" s="2" t="str">
        <f>Inputs!$A$4</f>
        <v>L3</v>
      </c>
      <c r="B160" s="3">
        <v>37</v>
      </c>
      <c r="C160" s="3">
        <f t="shared" si="12"/>
        <v>13304.21111744816</v>
      </c>
      <c r="D160" s="6">
        <f>-PMT(Inputs!$C$4/12, Inputs!$D$4, Inputs!$B$4)</f>
        <v>596.87084458205106</v>
      </c>
      <c r="E160" s="3">
        <f>C160 * (Inputs!$C$4/12)</f>
        <v>79.825266704688943</v>
      </c>
      <c r="F160" s="6">
        <f t="shared" si="13"/>
        <v>517.04557787736212</v>
      </c>
      <c r="G160" s="6">
        <f t="shared" si="10"/>
        <v>12787.165539570797</v>
      </c>
      <c r="H160" s="7">
        <f t="shared" si="11"/>
        <v>596.87084458205106</v>
      </c>
    </row>
    <row r="161" spans="1:8" x14ac:dyDescent="0.35">
      <c r="A161" s="2" t="str">
        <f>Inputs!$A$4</f>
        <v>L3</v>
      </c>
      <c r="B161" s="3">
        <v>38</v>
      </c>
      <c r="C161" s="3">
        <f t="shared" si="12"/>
        <v>12787.165539570797</v>
      </c>
      <c r="D161" s="6">
        <f>-PMT(Inputs!$C$4/12, Inputs!$D$4, Inputs!$B$4)</f>
        <v>596.87084458205106</v>
      </c>
      <c r="E161" s="3">
        <f>C161 * (Inputs!$C$4/12)</f>
        <v>76.722993237424774</v>
      </c>
      <c r="F161" s="6">
        <f t="shared" si="13"/>
        <v>520.14785134462625</v>
      </c>
      <c r="G161" s="6">
        <f t="shared" si="10"/>
        <v>12267.017688226171</v>
      </c>
      <c r="H161" s="7">
        <f t="shared" si="11"/>
        <v>596.87084458205106</v>
      </c>
    </row>
    <row r="162" spans="1:8" x14ac:dyDescent="0.35">
      <c r="A162" s="2" t="str">
        <f>Inputs!$A$4</f>
        <v>L3</v>
      </c>
      <c r="B162" s="3">
        <v>39</v>
      </c>
      <c r="C162" s="3">
        <f t="shared" si="12"/>
        <v>12267.017688226171</v>
      </c>
      <c r="D162" s="6">
        <f>-PMT(Inputs!$C$4/12, Inputs!$D$4, Inputs!$B$4)</f>
        <v>596.87084458205106</v>
      </c>
      <c r="E162" s="3">
        <f>C162 * (Inputs!$C$4/12)</f>
        <v>73.602106129357011</v>
      </c>
      <c r="F162" s="6">
        <f t="shared" si="13"/>
        <v>523.26873845269404</v>
      </c>
      <c r="G162" s="6">
        <f t="shared" si="10"/>
        <v>11743.748949773477</v>
      </c>
      <c r="H162" s="7">
        <f t="shared" si="11"/>
        <v>596.87084458205106</v>
      </c>
    </row>
    <row r="163" spans="1:8" x14ac:dyDescent="0.35">
      <c r="A163" s="2" t="str">
        <f>Inputs!$A$4</f>
        <v>L3</v>
      </c>
      <c r="B163" s="3">
        <v>40</v>
      </c>
      <c r="C163" s="3">
        <f t="shared" si="12"/>
        <v>11743.748949773477</v>
      </c>
      <c r="D163" s="6">
        <f>-PMT(Inputs!$C$4/12, Inputs!$D$4, Inputs!$B$4)</f>
        <v>596.87084458205106</v>
      </c>
      <c r="E163" s="3">
        <f>C163 * (Inputs!$C$4/12)</f>
        <v>70.462493698640856</v>
      </c>
      <c r="F163" s="6">
        <f t="shared" si="13"/>
        <v>526.40835088341021</v>
      </c>
      <c r="G163" s="6">
        <f t="shared" si="10"/>
        <v>11217.340598890067</v>
      </c>
      <c r="H163" s="7">
        <f t="shared" si="11"/>
        <v>596.87084458205106</v>
      </c>
    </row>
    <row r="164" spans="1:8" x14ac:dyDescent="0.35">
      <c r="A164" s="2" t="str">
        <f>Inputs!$A$4</f>
        <v>L3</v>
      </c>
      <c r="B164" s="3">
        <v>41</v>
      </c>
      <c r="C164" s="3">
        <f t="shared" si="12"/>
        <v>11217.340598890067</v>
      </c>
      <c r="D164" s="6">
        <f>-PMT(Inputs!$C$4/12, Inputs!$D$4, Inputs!$B$4)</f>
        <v>596.87084458205106</v>
      </c>
      <c r="E164" s="3">
        <f>C164 * (Inputs!$C$4/12)</f>
        <v>67.304043593340396</v>
      </c>
      <c r="F164" s="6">
        <f t="shared" si="13"/>
        <v>529.56680098871061</v>
      </c>
      <c r="G164" s="6">
        <f t="shared" si="10"/>
        <v>10687.773797901356</v>
      </c>
      <c r="H164" s="7">
        <f t="shared" si="11"/>
        <v>596.87084458205106</v>
      </c>
    </row>
    <row r="165" spans="1:8" x14ac:dyDescent="0.35">
      <c r="A165" s="2" t="str">
        <f>Inputs!$A$4</f>
        <v>L3</v>
      </c>
      <c r="B165" s="3">
        <v>42</v>
      </c>
      <c r="C165" s="3">
        <f t="shared" si="12"/>
        <v>10687.773797901356</v>
      </c>
      <c r="D165" s="6">
        <f>-PMT(Inputs!$C$4/12, Inputs!$D$4, Inputs!$B$4)</f>
        <v>596.87084458205106</v>
      </c>
      <c r="E165" s="3">
        <f>C165 * (Inputs!$C$4/12)</f>
        <v>64.12664278740813</v>
      </c>
      <c r="F165" s="6">
        <f t="shared" si="13"/>
        <v>532.74420179464289</v>
      </c>
      <c r="G165" s="6">
        <f t="shared" si="10"/>
        <v>10155.029596106713</v>
      </c>
      <c r="H165" s="7">
        <f t="shared" si="11"/>
        <v>596.87084458205106</v>
      </c>
    </row>
    <row r="166" spans="1:8" x14ac:dyDescent="0.35">
      <c r="A166" s="2" t="str">
        <f>Inputs!$A$4</f>
        <v>L3</v>
      </c>
      <c r="B166" s="3">
        <v>43</v>
      </c>
      <c r="C166" s="3">
        <f t="shared" si="12"/>
        <v>10155.029596106713</v>
      </c>
      <c r="D166" s="6">
        <f>-PMT(Inputs!$C$4/12, Inputs!$D$4, Inputs!$B$4)</f>
        <v>596.87084458205106</v>
      </c>
      <c r="E166" s="3">
        <f>C166 * (Inputs!$C$4/12)</f>
        <v>60.930177576640268</v>
      </c>
      <c r="F166" s="6">
        <f t="shared" si="13"/>
        <v>535.94066700541077</v>
      </c>
      <c r="G166" s="6">
        <f t="shared" si="10"/>
        <v>9619.0889291013027</v>
      </c>
      <c r="H166" s="7">
        <f t="shared" si="11"/>
        <v>596.87084458205106</v>
      </c>
    </row>
    <row r="167" spans="1:8" x14ac:dyDescent="0.35">
      <c r="A167" s="2" t="str">
        <f>Inputs!$A$4</f>
        <v>L3</v>
      </c>
      <c r="B167" s="3">
        <v>44</v>
      </c>
      <c r="C167" s="3">
        <f t="shared" si="12"/>
        <v>9619.0889291013027</v>
      </c>
      <c r="D167" s="6">
        <f>-PMT(Inputs!$C$4/12, Inputs!$D$4, Inputs!$B$4)</f>
        <v>596.87084458205106</v>
      </c>
      <c r="E167" s="3">
        <f>C167 * (Inputs!$C$4/12)</f>
        <v>57.714533574607806</v>
      </c>
      <c r="F167" s="6">
        <f t="shared" si="13"/>
        <v>539.15631100744326</v>
      </c>
      <c r="G167" s="6">
        <f t="shared" si="10"/>
        <v>9079.9326180938588</v>
      </c>
      <c r="H167" s="7">
        <f t="shared" si="11"/>
        <v>596.87084458205106</v>
      </c>
    </row>
    <row r="168" spans="1:8" x14ac:dyDescent="0.35">
      <c r="A168" s="2" t="str">
        <f>Inputs!$A$4</f>
        <v>L3</v>
      </c>
      <c r="B168" s="3">
        <v>45</v>
      </c>
      <c r="C168" s="3">
        <f t="shared" si="12"/>
        <v>9079.9326180938588</v>
      </c>
      <c r="D168" s="6">
        <f>-PMT(Inputs!$C$4/12, Inputs!$D$4, Inputs!$B$4)</f>
        <v>596.87084458205106</v>
      </c>
      <c r="E168" s="3">
        <f>C168 * (Inputs!$C$4/12)</f>
        <v>54.479595708563146</v>
      </c>
      <c r="F168" s="6">
        <f t="shared" si="13"/>
        <v>542.39124887348794</v>
      </c>
      <c r="G168" s="6">
        <f t="shared" si="10"/>
        <v>8537.5413692203711</v>
      </c>
      <c r="H168" s="7">
        <f t="shared" si="11"/>
        <v>596.87084458205106</v>
      </c>
    </row>
    <row r="169" spans="1:8" x14ac:dyDescent="0.35">
      <c r="A169" s="2" t="str">
        <f>Inputs!$A$4</f>
        <v>L3</v>
      </c>
      <c r="B169" s="3">
        <v>46</v>
      </c>
      <c r="C169" s="3">
        <f t="shared" si="12"/>
        <v>8537.5413692203711</v>
      </c>
      <c r="D169" s="6">
        <f>-PMT(Inputs!$C$4/12, Inputs!$D$4, Inputs!$B$4)</f>
        <v>596.87084458205106</v>
      </c>
      <c r="E169" s="3">
        <f>C169 * (Inputs!$C$4/12)</f>
        <v>51.225248215322218</v>
      </c>
      <c r="F169" s="6">
        <f t="shared" si="13"/>
        <v>545.6455963667288</v>
      </c>
      <c r="G169" s="6">
        <f t="shared" si="10"/>
        <v>7991.8957728536425</v>
      </c>
      <c r="H169" s="7">
        <f t="shared" si="11"/>
        <v>596.87084458205106</v>
      </c>
    </row>
    <row r="170" spans="1:8" x14ac:dyDescent="0.35">
      <c r="A170" s="2" t="str">
        <f>Inputs!$A$4</f>
        <v>L3</v>
      </c>
      <c r="B170" s="3">
        <v>47</v>
      </c>
      <c r="C170" s="3">
        <f t="shared" si="12"/>
        <v>7991.8957728536425</v>
      </c>
      <c r="D170" s="6">
        <f>-PMT(Inputs!$C$4/12, Inputs!$D$4, Inputs!$B$4)</f>
        <v>596.87084458205106</v>
      </c>
      <c r="E170" s="3">
        <f>C170 * (Inputs!$C$4/12)</f>
        <v>47.951374637121852</v>
      </c>
      <c r="F170" s="6">
        <f t="shared" si="13"/>
        <v>548.91946994492923</v>
      </c>
      <c r="G170" s="6">
        <f t="shared" si="10"/>
        <v>7442.9763029087135</v>
      </c>
      <c r="H170" s="7">
        <f t="shared" si="11"/>
        <v>596.87084458205106</v>
      </c>
    </row>
    <row r="171" spans="1:8" x14ac:dyDescent="0.35">
      <c r="A171" s="2" t="str">
        <f>Inputs!$A$4</f>
        <v>L3</v>
      </c>
      <c r="B171" s="3">
        <v>48</v>
      </c>
      <c r="C171" s="3">
        <f t="shared" si="12"/>
        <v>7442.9763029087135</v>
      </c>
      <c r="D171" s="6">
        <f>-PMT(Inputs!$C$4/12, Inputs!$D$4, Inputs!$B$4)</f>
        <v>596.87084458205106</v>
      </c>
      <c r="E171" s="3">
        <f>C171 * (Inputs!$C$4/12)</f>
        <v>44.657857817452275</v>
      </c>
      <c r="F171" s="6">
        <f t="shared" si="13"/>
        <v>552.21298676459878</v>
      </c>
      <c r="G171" s="6">
        <f t="shared" si="10"/>
        <v>6890.7633161441145</v>
      </c>
      <c r="H171" s="7">
        <f t="shared" si="11"/>
        <v>596.87084458205106</v>
      </c>
    </row>
    <row r="172" spans="1:8" x14ac:dyDescent="0.35">
      <c r="A172" s="2" t="str">
        <f>Inputs!$A$4</f>
        <v>L3</v>
      </c>
      <c r="B172" s="3">
        <v>49</v>
      </c>
      <c r="C172" s="3">
        <f t="shared" si="12"/>
        <v>6890.7633161441145</v>
      </c>
      <c r="D172" s="6">
        <f>-PMT(Inputs!$C$4/12, Inputs!$D$4, Inputs!$B$4)</f>
        <v>596.87084458205106</v>
      </c>
      <c r="E172" s="3">
        <f>C172 * (Inputs!$C$4/12)</f>
        <v>41.34457989686468</v>
      </c>
      <c r="F172" s="6">
        <f t="shared" si="13"/>
        <v>555.52626468518633</v>
      </c>
      <c r="G172" s="6">
        <f t="shared" si="10"/>
        <v>6335.2370514589284</v>
      </c>
      <c r="H172" s="7">
        <f t="shared" si="11"/>
        <v>596.87084458205106</v>
      </c>
    </row>
    <row r="173" spans="1:8" x14ac:dyDescent="0.35">
      <c r="A173" s="2" t="str">
        <f>Inputs!$A$4</f>
        <v>L3</v>
      </c>
      <c r="B173" s="3">
        <v>50</v>
      </c>
      <c r="C173" s="3">
        <f t="shared" si="12"/>
        <v>6335.2370514589284</v>
      </c>
      <c r="D173" s="6">
        <f>-PMT(Inputs!$C$4/12, Inputs!$D$4, Inputs!$B$4)</f>
        <v>596.87084458205106</v>
      </c>
      <c r="E173" s="3">
        <f>C173 * (Inputs!$C$4/12)</f>
        <v>38.011422308753566</v>
      </c>
      <c r="F173" s="6">
        <f t="shared" si="13"/>
        <v>558.85942227329747</v>
      </c>
      <c r="G173" s="6">
        <f t="shared" si="10"/>
        <v>5776.3776291856311</v>
      </c>
      <c r="H173" s="7">
        <f t="shared" si="11"/>
        <v>596.87084458205106</v>
      </c>
    </row>
    <row r="174" spans="1:8" x14ac:dyDescent="0.35">
      <c r="A174" s="2" t="str">
        <f>Inputs!$A$4</f>
        <v>L3</v>
      </c>
      <c r="B174" s="3">
        <v>51</v>
      </c>
      <c r="C174" s="3">
        <f t="shared" si="12"/>
        <v>5776.3776291856311</v>
      </c>
      <c r="D174" s="6">
        <f>-PMT(Inputs!$C$4/12, Inputs!$D$4, Inputs!$B$4)</f>
        <v>596.87084458205106</v>
      </c>
      <c r="E174" s="3">
        <f>C174 * (Inputs!$C$4/12)</f>
        <v>34.658265775113783</v>
      </c>
      <c r="F174" s="6">
        <f t="shared" si="13"/>
        <v>562.21257880693724</v>
      </c>
      <c r="G174" s="6">
        <f t="shared" si="10"/>
        <v>5214.1650503786941</v>
      </c>
      <c r="H174" s="7">
        <f t="shared" si="11"/>
        <v>596.87084458205106</v>
      </c>
    </row>
    <row r="175" spans="1:8" x14ac:dyDescent="0.35">
      <c r="A175" s="2" t="str">
        <f>Inputs!$A$4</f>
        <v>L3</v>
      </c>
      <c r="B175" s="3">
        <v>52</v>
      </c>
      <c r="C175" s="3">
        <f t="shared" si="12"/>
        <v>5214.1650503786941</v>
      </c>
      <c r="D175" s="6">
        <f>-PMT(Inputs!$C$4/12, Inputs!$D$4, Inputs!$B$4)</f>
        <v>596.87084458205106</v>
      </c>
      <c r="E175" s="3">
        <f>C175 * (Inputs!$C$4/12)</f>
        <v>31.28499030227216</v>
      </c>
      <c r="F175" s="6">
        <f t="shared" si="13"/>
        <v>565.58585427977891</v>
      </c>
      <c r="G175" s="6">
        <f t="shared" si="10"/>
        <v>4648.5791960989154</v>
      </c>
      <c r="H175" s="7">
        <f t="shared" si="11"/>
        <v>596.87084458205106</v>
      </c>
    </row>
    <row r="176" spans="1:8" x14ac:dyDescent="0.35">
      <c r="A176" s="2" t="str">
        <f>Inputs!$A$4</f>
        <v>L3</v>
      </c>
      <c r="B176" s="3">
        <v>53</v>
      </c>
      <c r="C176" s="3">
        <f t="shared" si="12"/>
        <v>4648.5791960989154</v>
      </c>
      <c r="D176" s="6">
        <f>-PMT(Inputs!$C$4/12, Inputs!$D$4, Inputs!$B$4)</f>
        <v>596.87084458205106</v>
      </c>
      <c r="E176" s="3">
        <f>C176 * (Inputs!$C$4/12)</f>
        <v>27.891475176593488</v>
      </c>
      <c r="F176" s="6">
        <f t="shared" si="13"/>
        <v>568.97936940545753</v>
      </c>
      <c r="G176" s="6">
        <f t="shared" si="10"/>
        <v>4079.599826693458</v>
      </c>
      <c r="H176" s="7">
        <f t="shared" si="11"/>
        <v>596.87084458205106</v>
      </c>
    </row>
    <row r="177" spans="1:8" x14ac:dyDescent="0.35">
      <c r="A177" s="2" t="str">
        <f>Inputs!$A$4</f>
        <v>L3</v>
      </c>
      <c r="B177" s="3">
        <v>54</v>
      </c>
      <c r="C177" s="3">
        <f t="shared" si="12"/>
        <v>4079.599826693458</v>
      </c>
      <c r="D177" s="6">
        <f>-PMT(Inputs!$C$4/12, Inputs!$D$4, Inputs!$B$4)</f>
        <v>596.87084458205106</v>
      </c>
      <c r="E177" s="3">
        <f>C177 * (Inputs!$C$4/12)</f>
        <v>24.477598960160744</v>
      </c>
      <c r="F177" s="6">
        <f t="shared" si="13"/>
        <v>572.39324562189029</v>
      </c>
      <c r="G177" s="6">
        <f t="shared" si="10"/>
        <v>3507.2065810715676</v>
      </c>
      <c r="H177" s="7">
        <f t="shared" si="11"/>
        <v>596.87084458205106</v>
      </c>
    </row>
    <row r="178" spans="1:8" x14ac:dyDescent="0.35">
      <c r="A178" s="2" t="str">
        <f>Inputs!$A$4</f>
        <v>L3</v>
      </c>
      <c r="B178" s="3">
        <v>55</v>
      </c>
      <c r="C178" s="3">
        <f t="shared" si="12"/>
        <v>3507.2065810715676</v>
      </c>
      <c r="D178" s="6">
        <f>-PMT(Inputs!$C$4/12, Inputs!$D$4, Inputs!$B$4)</f>
        <v>596.87084458205106</v>
      </c>
      <c r="E178" s="3">
        <f>C178 * (Inputs!$C$4/12)</f>
        <v>21.043239486429403</v>
      </c>
      <c r="F178" s="6">
        <f t="shared" si="13"/>
        <v>575.82760509562161</v>
      </c>
      <c r="G178" s="6">
        <f t="shared" si="10"/>
        <v>2931.3789759759461</v>
      </c>
      <c r="H178" s="7">
        <f t="shared" si="11"/>
        <v>596.87084458205106</v>
      </c>
    </row>
    <row r="179" spans="1:8" x14ac:dyDescent="0.35">
      <c r="A179" s="2" t="str">
        <f>Inputs!$A$4</f>
        <v>L3</v>
      </c>
      <c r="B179" s="3">
        <v>56</v>
      </c>
      <c r="C179" s="3">
        <f t="shared" si="12"/>
        <v>2931.3789759759461</v>
      </c>
      <c r="D179" s="6">
        <f>-PMT(Inputs!$C$4/12, Inputs!$D$4, Inputs!$B$4)</f>
        <v>596.87084458205106</v>
      </c>
      <c r="E179" s="3">
        <f>C179 * (Inputs!$C$4/12)</f>
        <v>17.588273855855675</v>
      </c>
      <c r="F179" s="6">
        <f t="shared" si="13"/>
        <v>579.28257072619544</v>
      </c>
      <c r="G179" s="6">
        <f t="shared" si="10"/>
        <v>2352.0964052497507</v>
      </c>
      <c r="H179" s="7">
        <f t="shared" si="11"/>
        <v>596.87084458205106</v>
      </c>
    </row>
    <row r="180" spans="1:8" x14ac:dyDescent="0.35">
      <c r="A180" s="2" t="str">
        <f>Inputs!$A$4</f>
        <v>L3</v>
      </c>
      <c r="B180" s="3">
        <v>57</v>
      </c>
      <c r="C180" s="3">
        <f t="shared" si="12"/>
        <v>2352.0964052497507</v>
      </c>
      <c r="D180" s="6">
        <f>-PMT(Inputs!$C$4/12, Inputs!$D$4, Inputs!$B$4)</f>
        <v>596.87084458205106</v>
      </c>
      <c r="E180" s="3">
        <f>C180 * (Inputs!$C$4/12)</f>
        <v>14.112578431498502</v>
      </c>
      <c r="F180" s="6">
        <f t="shared" si="13"/>
        <v>582.75826615055257</v>
      </c>
      <c r="G180" s="6">
        <f t="shared" si="10"/>
        <v>1769.3381390991981</v>
      </c>
      <c r="H180" s="7">
        <f t="shared" si="11"/>
        <v>596.87084458205106</v>
      </c>
    </row>
    <row r="181" spans="1:8" x14ac:dyDescent="0.35">
      <c r="A181" s="2" t="str">
        <f>Inputs!$A$4</f>
        <v>L3</v>
      </c>
      <c r="B181" s="3">
        <v>58</v>
      </c>
      <c r="C181" s="3">
        <f t="shared" si="12"/>
        <v>1769.3381390991981</v>
      </c>
      <c r="D181" s="6">
        <f>-PMT(Inputs!$C$4/12, Inputs!$D$4, Inputs!$B$4)</f>
        <v>596.87084458205106</v>
      </c>
      <c r="E181" s="3">
        <f>C181 * (Inputs!$C$4/12)</f>
        <v>10.616028834595188</v>
      </c>
      <c r="F181" s="6">
        <f t="shared" si="13"/>
        <v>586.25481574745584</v>
      </c>
      <c r="G181" s="6">
        <f t="shared" si="10"/>
        <v>1183.0833233517424</v>
      </c>
      <c r="H181" s="7">
        <f t="shared" si="11"/>
        <v>596.87084458205106</v>
      </c>
    </row>
    <row r="182" spans="1:8" x14ac:dyDescent="0.35">
      <c r="A182" s="2" t="str">
        <f>Inputs!$A$4</f>
        <v>L3</v>
      </c>
      <c r="B182" s="3">
        <v>59</v>
      </c>
      <c r="C182" s="3">
        <f t="shared" si="12"/>
        <v>1183.0833233517424</v>
      </c>
      <c r="D182" s="6">
        <f>-PMT(Inputs!$C$4/12, Inputs!$D$4, Inputs!$B$4)</f>
        <v>596.87084458205106</v>
      </c>
      <c r="E182" s="3">
        <f>C182 * (Inputs!$C$4/12)</f>
        <v>7.0984999401104529</v>
      </c>
      <c r="F182" s="6">
        <f>D182 - E182</f>
        <v>589.77234464194066</v>
      </c>
      <c r="G182" s="6">
        <f t="shared" si="10"/>
        <v>593.3109787098017</v>
      </c>
      <c r="H182" s="7">
        <f t="shared" si="11"/>
        <v>596.87084458205106</v>
      </c>
    </row>
    <row r="183" spans="1:8" x14ac:dyDescent="0.35">
      <c r="A183" s="2" t="str">
        <f>Inputs!$A$4</f>
        <v>L3</v>
      </c>
      <c r="B183" s="4">
        <v>60</v>
      </c>
      <c r="C183" s="4">
        <f t="shared" si="12"/>
        <v>593.3109787098017</v>
      </c>
      <c r="D183" s="6">
        <f>-PMT(Inputs!$C$4/12, Inputs!$D$4, Inputs!$B$4)</f>
        <v>596.87084458205106</v>
      </c>
      <c r="E183" s="3">
        <f>C183 * (Inputs!$C$4/12)</f>
        <v>3.5598658722588099</v>
      </c>
      <c r="F183" s="6">
        <f>D183 - E183</f>
        <v>593.31097870979227</v>
      </c>
      <c r="G183" s="6">
        <f t="shared" si="10"/>
        <v>9.4360075308941305E-12</v>
      </c>
      <c r="H183" s="8">
        <f>D183</f>
        <v>596.87084458205106</v>
      </c>
    </row>
    <row r="184" spans="1:8" x14ac:dyDescent="0.35">
      <c r="D184" s="6"/>
    </row>
    <row r="185" spans="1:8" x14ac:dyDescent="0.35">
      <c r="A185" s="2" t="str">
        <f>Inputs!$A$5</f>
        <v>L4</v>
      </c>
      <c r="B185" s="3">
        <v>1</v>
      </c>
      <c r="C185" s="3">
        <f>Inputs!$B$5</f>
        <v>12000</v>
      </c>
      <c r="D185" s="6">
        <f>-PMT(Inputs!$C$5/12, Inputs!$D$5, Inputs!$B$5)</f>
        <v>229.21394606138691</v>
      </c>
      <c r="E185" s="3">
        <f>C185 * (Inputs!$C$5/12)</f>
        <v>55</v>
      </c>
      <c r="F185" s="6">
        <f>D185 - E185</f>
        <v>174.21394606138691</v>
      </c>
      <c r="G185" s="6">
        <f>C185 - F185</f>
        <v>11825.786053938613</v>
      </c>
      <c r="H185" s="7">
        <f>D185</f>
        <v>229.21394606138691</v>
      </c>
    </row>
    <row r="186" spans="1:8" x14ac:dyDescent="0.35">
      <c r="A186" s="2" t="str">
        <f>Inputs!$A$5</f>
        <v>L4</v>
      </c>
      <c r="B186" s="3">
        <v>2</v>
      </c>
      <c r="C186" s="3">
        <f>G185</f>
        <v>11825.786053938613</v>
      </c>
      <c r="D186" s="6">
        <f>-PMT(Inputs!$C$5/12, Inputs!$D$5, Inputs!$B$5)</f>
        <v>229.21394606138691</v>
      </c>
      <c r="E186" s="3">
        <f>C186 * (Inputs!$C$5/12)</f>
        <v>54.201519413885308</v>
      </c>
      <c r="F186" s="6">
        <f t="shared" ref="F186:F244" si="14">D186 - E186</f>
        <v>175.0124266475016</v>
      </c>
      <c r="G186" s="6">
        <f t="shared" ref="G186:G244" si="15">C186 - F186</f>
        <v>11650.773627291112</v>
      </c>
      <c r="H186" s="7">
        <f t="shared" ref="H186:H244" si="16">D186</f>
        <v>229.21394606138691</v>
      </c>
    </row>
    <row r="187" spans="1:8" x14ac:dyDescent="0.35">
      <c r="A187" s="2" t="str">
        <f>Inputs!$A$5</f>
        <v>L4</v>
      </c>
      <c r="B187" s="3">
        <v>3</v>
      </c>
      <c r="C187" s="3">
        <f t="shared" ref="C187:C244" si="17">G186</f>
        <v>11650.773627291112</v>
      </c>
      <c r="D187" s="6">
        <f>-PMT(Inputs!$C$5/12, Inputs!$D$5, Inputs!$B$5)</f>
        <v>229.21394606138691</v>
      </c>
      <c r="E187" s="3">
        <f>C187 * (Inputs!$C$5/12)</f>
        <v>53.399379125084259</v>
      </c>
      <c r="F187" s="6">
        <f t="shared" si="14"/>
        <v>175.81456693630264</v>
      </c>
      <c r="G187" s="6">
        <f t="shared" si="15"/>
        <v>11474.959060354809</v>
      </c>
      <c r="H187" s="7">
        <f t="shared" si="16"/>
        <v>229.21394606138691</v>
      </c>
    </row>
    <row r="188" spans="1:8" x14ac:dyDescent="0.35">
      <c r="A188" s="2" t="str">
        <f>Inputs!$A$5</f>
        <v>L4</v>
      </c>
      <c r="B188" s="3">
        <v>4</v>
      </c>
      <c r="C188" s="3">
        <f t="shared" si="17"/>
        <v>11474.959060354809</v>
      </c>
      <c r="D188" s="6">
        <f>-PMT(Inputs!$C$5/12, Inputs!$D$5, Inputs!$B$5)</f>
        <v>229.21394606138691</v>
      </c>
      <c r="E188" s="3">
        <f>C188 * (Inputs!$C$5/12)</f>
        <v>52.593562359959542</v>
      </c>
      <c r="F188" s="6">
        <f t="shared" si="14"/>
        <v>176.62038370142736</v>
      </c>
      <c r="G188" s="6">
        <f t="shared" si="15"/>
        <v>11298.338676653382</v>
      </c>
      <c r="H188" s="7">
        <f t="shared" si="16"/>
        <v>229.21394606138691</v>
      </c>
    </row>
    <row r="189" spans="1:8" x14ac:dyDescent="0.35">
      <c r="A189" s="2" t="str">
        <f>Inputs!$A$5</f>
        <v>L4</v>
      </c>
      <c r="B189" s="3">
        <v>5</v>
      </c>
      <c r="C189" s="3">
        <f t="shared" si="17"/>
        <v>11298.338676653382</v>
      </c>
      <c r="D189" s="6">
        <f>-PMT(Inputs!$C$5/12, Inputs!$D$5, Inputs!$B$5)</f>
        <v>229.21394606138691</v>
      </c>
      <c r="E189" s="3">
        <f>C189 * (Inputs!$C$5/12)</f>
        <v>51.784052267994667</v>
      </c>
      <c r="F189" s="6">
        <f t="shared" si="14"/>
        <v>177.42989379339224</v>
      </c>
      <c r="G189" s="6">
        <f t="shared" si="15"/>
        <v>11120.90878285999</v>
      </c>
      <c r="H189" s="7">
        <f t="shared" si="16"/>
        <v>229.21394606138691</v>
      </c>
    </row>
    <row r="190" spans="1:8" x14ac:dyDescent="0.35">
      <c r="A190" s="2" t="str">
        <f>Inputs!$A$5</f>
        <v>L4</v>
      </c>
      <c r="B190" s="3">
        <v>6</v>
      </c>
      <c r="C190" s="3">
        <f t="shared" si="17"/>
        <v>11120.90878285999</v>
      </c>
      <c r="D190" s="6">
        <f>-PMT(Inputs!$C$5/12, Inputs!$D$5, Inputs!$B$5)</f>
        <v>229.21394606138691</v>
      </c>
      <c r="E190" s="3">
        <f>C190 * (Inputs!$C$5/12)</f>
        <v>50.970831921441622</v>
      </c>
      <c r="F190" s="6">
        <f t="shared" si="14"/>
        <v>178.24311413994528</v>
      </c>
      <c r="G190" s="6">
        <f t="shared" si="15"/>
        <v>10942.665668720045</v>
      </c>
      <c r="H190" s="7">
        <f t="shared" si="16"/>
        <v>229.21394606138691</v>
      </c>
    </row>
    <row r="191" spans="1:8" x14ac:dyDescent="0.35">
      <c r="A191" s="2" t="str">
        <f>Inputs!$A$5</f>
        <v>L4</v>
      </c>
      <c r="B191" s="3">
        <v>7</v>
      </c>
      <c r="C191" s="3">
        <f t="shared" si="17"/>
        <v>10942.665668720045</v>
      </c>
      <c r="D191" s="6">
        <f>-PMT(Inputs!$C$5/12, Inputs!$D$5, Inputs!$B$5)</f>
        <v>229.21394606138691</v>
      </c>
      <c r="E191" s="3">
        <f>C191 * (Inputs!$C$5/12)</f>
        <v>50.153884314966874</v>
      </c>
      <c r="F191" s="6">
        <f t="shared" si="14"/>
        <v>179.06006174642005</v>
      </c>
      <c r="G191" s="6">
        <f t="shared" si="15"/>
        <v>10763.605606973624</v>
      </c>
      <c r="H191" s="7">
        <f t="shared" si="16"/>
        <v>229.21394606138691</v>
      </c>
    </row>
    <row r="192" spans="1:8" x14ac:dyDescent="0.35">
      <c r="A192" s="2" t="str">
        <f>Inputs!$A$5</f>
        <v>L4</v>
      </c>
      <c r="B192" s="3">
        <v>8</v>
      </c>
      <c r="C192" s="3">
        <f t="shared" si="17"/>
        <v>10763.605606973624</v>
      </c>
      <c r="D192" s="6">
        <f>-PMT(Inputs!$C$5/12, Inputs!$D$5, Inputs!$B$5)</f>
        <v>229.21394606138691</v>
      </c>
      <c r="E192" s="3">
        <f>C192 * (Inputs!$C$5/12)</f>
        <v>49.33319236529578</v>
      </c>
      <c r="F192" s="6">
        <f t="shared" si="14"/>
        <v>179.88075369609112</v>
      </c>
      <c r="G192" s="6">
        <f t="shared" si="15"/>
        <v>10583.724853277534</v>
      </c>
      <c r="H192" s="7">
        <f t="shared" si="16"/>
        <v>229.21394606138691</v>
      </c>
    </row>
    <row r="193" spans="1:8" x14ac:dyDescent="0.35">
      <c r="A193" s="2" t="str">
        <f>Inputs!$A$5</f>
        <v>L4</v>
      </c>
      <c r="B193" s="3">
        <v>9</v>
      </c>
      <c r="C193" s="3">
        <f t="shared" si="17"/>
        <v>10583.724853277534</v>
      </c>
      <c r="D193" s="6">
        <f>-PMT(Inputs!$C$5/12, Inputs!$D$5, Inputs!$B$5)</f>
        <v>229.21394606138691</v>
      </c>
      <c r="E193" s="3">
        <f>C193 * (Inputs!$C$5/12)</f>
        <v>48.508738910855364</v>
      </c>
      <c r="F193" s="6">
        <f t="shared" si="14"/>
        <v>180.70520715053155</v>
      </c>
      <c r="G193" s="6">
        <f t="shared" si="15"/>
        <v>10403.019646127002</v>
      </c>
      <c r="H193" s="7">
        <f t="shared" si="16"/>
        <v>229.21394606138691</v>
      </c>
    </row>
    <row r="194" spans="1:8" x14ac:dyDescent="0.35">
      <c r="A194" s="2" t="str">
        <f>Inputs!$A$5</f>
        <v>L4</v>
      </c>
      <c r="B194" s="3">
        <v>10</v>
      </c>
      <c r="C194" s="3">
        <f t="shared" si="17"/>
        <v>10403.019646127002</v>
      </c>
      <c r="D194" s="6">
        <f>-PMT(Inputs!$C$5/12, Inputs!$D$5, Inputs!$B$5)</f>
        <v>229.21394606138691</v>
      </c>
      <c r="E194" s="3">
        <f>C194 * (Inputs!$C$5/12)</f>
        <v>47.680506711415426</v>
      </c>
      <c r="F194" s="6">
        <f t="shared" si="14"/>
        <v>181.53343934997147</v>
      </c>
      <c r="G194" s="6">
        <f t="shared" si="15"/>
        <v>10221.486206777032</v>
      </c>
      <c r="H194" s="7">
        <f t="shared" si="16"/>
        <v>229.21394606138691</v>
      </c>
    </row>
    <row r="195" spans="1:8" x14ac:dyDescent="0.35">
      <c r="A195" s="2" t="str">
        <f>Inputs!$A$5</f>
        <v>L4</v>
      </c>
      <c r="B195" s="3">
        <v>11</v>
      </c>
      <c r="C195" s="3">
        <f t="shared" si="17"/>
        <v>10221.486206777032</v>
      </c>
      <c r="D195" s="6">
        <f>-PMT(Inputs!$C$5/12, Inputs!$D$5, Inputs!$B$5)</f>
        <v>229.21394606138691</v>
      </c>
      <c r="E195" s="3">
        <f>C195 * (Inputs!$C$5/12)</f>
        <v>46.848478447728063</v>
      </c>
      <c r="F195" s="6">
        <f t="shared" si="14"/>
        <v>182.36546761365884</v>
      </c>
      <c r="G195" s="6">
        <f t="shared" si="15"/>
        <v>10039.120739163372</v>
      </c>
      <c r="H195" s="7">
        <f t="shared" si="16"/>
        <v>229.21394606138691</v>
      </c>
    </row>
    <row r="196" spans="1:8" x14ac:dyDescent="0.35">
      <c r="A196" s="2" t="str">
        <f>Inputs!$A$5</f>
        <v>L4</v>
      </c>
      <c r="B196" s="3">
        <v>12</v>
      </c>
      <c r="C196" s="3">
        <f t="shared" si="17"/>
        <v>10039.120739163372</v>
      </c>
      <c r="D196" s="6">
        <f>-PMT(Inputs!$C$5/12, Inputs!$D$5, Inputs!$B$5)</f>
        <v>229.21394606138691</v>
      </c>
      <c r="E196" s="3">
        <f>C196 * (Inputs!$C$5/12)</f>
        <v>46.012636721165457</v>
      </c>
      <c r="F196" s="6">
        <f t="shared" si="14"/>
        <v>183.20130934022146</v>
      </c>
      <c r="G196" s="6">
        <f t="shared" si="15"/>
        <v>9855.9194298231505</v>
      </c>
      <c r="H196" s="7">
        <f t="shared" si="16"/>
        <v>229.21394606138691</v>
      </c>
    </row>
    <row r="197" spans="1:8" x14ac:dyDescent="0.35">
      <c r="A197" s="2" t="str">
        <f>Inputs!$A$5</f>
        <v>L4</v>
      </c>
      <c r="B197" s="3">
        <v>13</v>
      </c>
      <c r="C197" s="3">
        <f t="shared" si="17"/>
        <v>9855.9194298231505</v>
      </c>
      <c r="D197" s="6">
        <f>-PMT(Inputs!$C$5/12, Inputs!$D$5, Inputs!$B$5)</f>
        <v>229.21394606138691</v>
      </c>
      <c r="E197" s="3">
        <f>C197 * (Inputs!$C$5/12)</f>
        <v>45.172964053356104</v>
      </c>
      <c r="F197" s="6">
        <f t="shared" si="14"/>
        <v>184.0409820080308</v>
      </c>
      <c r="G197" s="6">
        <f t="shared" si="15"/>
        <v>9671.8784478151192</v>
      </c>
      <c r="H197" s="7">
        <f t="shared" si="16"/>
        <v>229.21394606138691</v>
      </c>
    </row>
    <row r="198" spans="1:8" x14ac:dyDescent="0.35">
      <c r="A198" s="2" t="str">
        <f>Inputs!$A$5</f>
        <v>L4</v>
      </c>
      <c r="B198" s="3">
        <v>14</v>
      </c>
      <c r="C198" s="3">
        <f t="shared" si="17"/>
        <v>9671.8784478151192</v>
      </c>
      <c r="D198" s="6">
        <f>-PMT(Inputs!$C$5/12, Inputs!$D$5, Inputs!$B$5)</f>
        <v>229.21394606138691</v>
      </c>
      <c r="E198" s="3">
        <f>C198 * (Inputs!$C$5/12)</f>
        <v>44.329442885819297</v>
      </c>
      <c r="F198" s="6">
        <f t="shared" si="14"/>
        <v>184.8845031755676</v>
      </c>
      <c r="G198" s="6">
        <f t="shared" si="15"/>
        <v>9486.993944639551</v>
      </c>
      <c r="H198" s="7">
        <f t="shared" si="16"/>
        <v>229.21394606138691</v>
      </c>
    </row>
    <row r="199" spans="1:8" x14ac:dyDescent="0.35">
      <c r="A199" s="2" t="str">
        <f>Inputs!$A$5</f>
        <v>L4</v>
      </c>
      <c r="B199" s="3">
        <v>15</v>
      </c>
      <c r="C199" s="3">
        <f t="shared" si="17"/>
        <v>9486.993944639551</v>
      </c>
      <c r="D199" s="6">
        <f>-PMT(Inputs!$C$5/12, Inputs!$D$5, Inputs!$B$5)</f>
        <v>229.21394606138691</v>
      </c>
      <c r="E199" s="3">
        <f>C199 * (Inputs!$C$5/12)</f>
        <v>43.48205557959794</v>
      </c>
      <c r="F199" s="6">
        <f t="shared" si="14"/>
        <v>185.73189048178898</v>
      </c>
      <c r="G199" s="6">
        <f t="shared" si="15"/>
        <v>9301.2620541577617</v>
      </c>
      <c r="H199" s="7">
        <f t="shared" si="16"/>
        <v>229.21394606138691</v>
      </c>
    </row>
    <row r="200" spans="1:8" x14ac:dyDescent="0.35">
      <c r="A200" s="2" t="str">
        <f>Inputs!$A$5</f>
        <v>L4</v>
      </c>
      <c r="B200" s="3">
        <v>16</v>
      </c>
      <c r="C200" s="3">
        <f t="shared" si="17"/>
        <v>9301.2620541577617</v>
      </c>
      <c r="D200" s="6">
        <f>-PMT(Inputs!$C$5/12, Inputs!$D$5, Inputs!$B$5)</f>
        <v>229.21394606138691</v>
      </c>
      <c r="E200" s="3">
        <f>C200 * (Inputs!$C$5/12)</f>
        <v>42.630784414889739</v>
      </c>
      <c r="F200" s="6">
        <f t="shared" si="14"/>
        <v>186.58316164649716</v>
      </c>
      <c r="G200" s="6">
        <f t="shared" si="15"/>
        <v>9114.6788925112651</v>
      </c>
      <c r="H200" s="7">
        <f t="shared" si="16"/>
        <v>229.21394606138691</v>
      </c>
    </row>
    <row r="201" spans="1:8" x14ac:dyDescent="0.35">
      <c r="A201" s="2" t="str">
        <f>Inputs!$A$5</f>
        <v>L4</v>
      </c>
      <c r="B201" s="3">
        <v>17</v>
      </c>
      <c r="C201" s="3">
        <f t="shared" si="17"/>
        <v>9114.6788925112651</v>
      </c>
      <c r="D201" s="6">
        <f>-PMT(Inputs!$C$5/12, Inputs!$D$5, Inputs!$B$5)</f>
        <v>229.21394606138691</v>
      </c>
      <c r="E201" s="3">
        <f>C201 * (Inputs!$C$5/12)</f>
        <v>41.775611590676633</v>
      </c>
      <c r="F201" s="6">
        <f t="shared" si="14"/>
        <v>187.43833447071029</v>
      </c>
      <c r="G201" s="6">
        <f t="shared" si="15"/>
        <v>8927.2405580405539</v>
      </c>
      <c r="H201" s="7">
        <f t="shared" si="16"/>
        <v>229.21394606138691</v>
      </c>
    </row>
    <row r="202" spans="1:8" x14ac:dyDescent="0.35">
      <c r="A202" s="2" t="str">
        <f>Inputs!$A$5</f>
        <v>L4</v>
      </c>
      <c r="B202" s="3">
        <v>18</v>
      </c>
      <c r="C202" s="3">
        <f t="shared" si="17"/>
        <v>8927.2405580405539</v>
      </c>
      <c r="D202" s="6">
        <f>-PMT(Inputs!$C$5/12, Inputs!$D$5, Inputs!$B$5)</f>
        <v>229.21394606138691</v>
      </c>
      <c r="E202" s="3">
        <f>C202 * (Inputs!$C$5/12)</f>
        <v>40.916519224352541</v>
      </c>
      <c r="F202" s="6">
        <f t="shared" si="14"/>
        <v>188.29742683703438</v>
      </c>
      <c r="G202" s="6">
        <f t="shared" si="15"/>
        <v>8738.9431312035194</v>
      </c>
      <c r="H202" s="7">
        <f t="shared" si="16"/>
        <v>229.21394606138691</v>
      </c>
    </row>
    <row r="203" spans="1:8" x14ac:dyDescent="0.35">
      <c r="A203" s="2" t="str">
        <f>Inputs!$A$5</f>
        <v>L4</v>
      </c>
      <c r="B203" s="3">
        <v>19</v>
      </c>
      <c r="C203" s="3">
        <f t="shared" si="17"/>
        <v>8738.9431312035194</v>
      </c>
      <c r="D203" s="6">
        <f>-PMT(Inputs!$C$5/12, Inputs!$D$5, Inputs!$B$5)</f>
        <v>229.21394606138691</v>
      </c>
      <c r="E203" s="3">
        <f>C203 * (Inputs!$C$5/12)</f>
        <v>40.053489351349462</v>
      </c>
      <c r="F203" s="6">
        <f t="shared" si="14"/>
        <v>189.16045671003744</v>
      </c>
      <c r="G203" s="6">
        <f t="shared" si="15"/>
        <v>8549.7826744934828</v>
      </c>
      <c r="H203" s="7">
        <f t="shared" si="16"/>
        <v>229.21394606138691</v>
      </c>
    </row>
    <row r="204" spans="1:8" x14ac:dyDescent="0.35">
      <c r="A204" s="2" t="str">
        <f>Inputs!$A$5</f>
        <v>L4</v>
      </c>
      <c r="B204" s="3">
        <v>20</v>
      </c>
      <c r="C204" s="3">
        <f t="shared" si="17"/>
        <v>8549.7826744934828</v>
      </c>
      <c r="D204" s="6">
        <f>-PMT(Inputs!$C$5/12, Inputs!$D$5, Inputs!$B$5)</f>
        <v>229.21394606138691</v>
      </c>
      <c r="E204" s="3">
        <f>C204 * (Inputs!$C$5/12)</f>
        <v>39.186503924761794</v>
      </c>
      <c r="F204" s="6">
        <f t="shared" si="14"/>
        <v>190.0274421366251</v>
      </c>
      <c r="G204" s="6">
        <f t="shared" si="15"/>
        <v>8359.755232356858</v>
      </c>
      <c r="H204" s="7">
        <f t="shared" si="16"/>
        <v>229.21394606138691</v>
      </c>
    </row>
    <row r="205" spans="1:8" x14ac:dyDescent="0.35">
      <c r="A205" s="2" t="str">
        <f>Inputs!$A$5</f>
        <v>L4</v>
      </c>
      <c r="B205" s="3">
        <v>21</v>
      </c>
      <c r="C205" s="3">
        <f t="shared" si="17"/>
        <v>8359.755232356858</v>
      </c>
      <c r="D205" s="6">
        <f>-PMT(Inputs!$C$5/12, Inputs!$D$5, Inputs!$B$5)</f>
        <v>229.21394606138691</v>
      </c>
      <c r="E205" s="3">
        <f>C205 * (Inputs!$C$5/12)</f>
        <v>38.315544814968931</v>
      </c>
      <c r="F205" s="6">
        <f t="shared" si="14"/>
        <v>190.89840124641796</v>
      </c>
      <c r="G205" s="6">
        <f t="shared" si="15"/>
        <v>8168.85683111044</v>
      </c>
      <c r="H205" s="7">
        <f t="shared" si="16"/>
        <v>229.21394606138691</v>
      </c>
    </row>
    <row r="206" spans="1:8" x14ac:dyDescent="0.35">
      <c r="A206" s="2" t="str">
        <f>Inputs!$A$5</f>
        <v>L4</v>
      </c>
      <c r="B206" s="3">
        <v>22</v>
      </c>
      <c r="C206" s="3">
        <f t="shared" si="17"/>
        <v>8168.85683111044</v>
      </c>
      <c r="D206" s="6">
        <f>-PMT(Inputs!$C$5/12, Inputs!$D$5, Inputs!$B$5)</f>
        <v>229.21394606138691</v>
      </c>
      <c r="E206" s="3">
        <f>C206 * (Inputs!$C$5/12)</f>
        <v>37.440593809256185</v>
      </c>
      <c r="F206" s="6">
        <f t="shared" si="14"/>
        <v>191.77335225213073</v>
      </c>
      <c r="G206" s="6">
        <f t="shared" si="15"/>
        <v>7977.0834788583088</v>
      </c>
      <c r="H206" s="7">
        <f t="shared" si="16"/>
        <v>229.21394606138691</v>
      </c>
    </row>
    <row r="207" spans="1:8" x14ac:dyDescent="0.35">
      <c r="A207" s="2" t="str">
        <f>Inputs!$A$5</f>
        <v>L4</v>
      </c>
      <c r="B207" s="3">
        <v>23</v>
      </c>
      <c r="C207" s="3">
        <f t="shared" si="17"/>
        <v>7977.0834788583088</v>
      </c>
      <c r="D207" s="6">
        <f>-PMT(Inputs!$C$5/12, Inputs!$D$5, Inputs!$B$5)</f>
        <v>229.21394606138691</v>
      </c>
      <c r="E207" s="3">
        <f>C207 * (Inputs!$C$5/12)</f>
        <v>36.561632611433915</v>
      </c>
      <c r="F207" s="6">
        <f t="shared" si="14"/>
        <v>192.652313449953</v>
      </c>
      <c r="G207" s="6">
        <f t="shared" si="15"/>
        <v>7784.4311654083558</v>
      </c>
      <c r="H207" s="7">
        <f t="shared" si="16"/>
        <v>229.21394606138691</v>
      </c>
    </row>
    <row r="208" spans="1:8" x14ac:dyDescent="0.35">
      <c r="A208" s="2" t="str">
        <f>Inputs!$A$5</f>
        <v>L4</v>
      </c>
      <c r="B208" s="3">
        <v>24</v>
      </c>
      <c r="C208" s="3">
        <f t="shared" si="17"/>
        <v>7784.4311654083558</v>
      </c>
      <c r="D208" s="6">
        <f>-PMT(Inputs!$C$5/12, Inputs!$D$5, Inputs!$B$5)</f>
        <v>229.21394606138691</v>
      </c>
      <c r="E208" s="3">
        <f>C208 * (Inputs!$C$5/12)</f>
        <v>35.678642841454966</v>
      </c>
      <c r="F208" s="6">
        <f t="shared" si="14"/>
        <v>193.53530321993193</v>
      </c>
      <c r="G208" s="6">
        <f t="shared" si="15"/>
        <v>7590.895862188424</v>
      </c>
      <c r="H208" s="7">
        <f t="shared" si="16"/>
        <v>229.21394606138691</v>
      </c>
    </row>
    <row r="209" spans="1:8" x14ac:dyDescent="0.35">
      <c r="A209" s="2" t="str">
        <f>Inputs!$A$5</f>
        <v>L4</v>
      </c>
      <c r="B209" s="3">
        <v>25</v>
      </c>
      <c r="C209" s="3">
        <f t="shared" si="17"/>
        <v>7590.895862188424</v>
      </c>
      <c r="D209" s="6">
        <f>-PMT(Inputs!$C$5/12, Inputs!$D$5, Inputs!$B$5)</f>
        <v>229.21394606138691</v>
      </c>
      <c r="E209" s="3">
        <f>C209 * (Inputs!$C$5/12)</f>
        <v>34.791606035030277</v>
      </c>
      <c r="F209" s="6">
        <f t="shared" si="14"/>
        <v>194.42234002635664</v>
      </c>
      <c r="G209" s="6">
        <f t="shared" si="15"/>
        <v>7396.4735221620676</v>
      </c>
      <c r="H209" s="7">
        <f t="shared" si="16"/>
        <v>229.21394606138691</v>
      </c>
    </row>
    <row r="210" spans="1:8" x14ac:dyDescent="0.35">
      <c r="A210" s="2" t="str">
        <f>Inputs!$A$5</f>
        <v>L4</v>
      </c>
      <c r="B210" s="3">
        <v>26</v>
      </c>
      <c r="C210" s="3">
        <f t="shared" si="17"/>
        <v>7396.4735221620676</v>
      </c>
      <c r="D210" s="6">
        <f>-PMT(Inputs!$C$5/12, Inputs!$D$5, Inputs!$B$5)</f>
        <v>229.21394606138691</v>
      </c>
      <c r="E210" s="3">
        <f>C210 * (Inputs!$C$5/12)</f>
        <v>33.900503643242807</v>
      </c>
      <c r="F210" s="6">
        <f t="shared" si="14"/>
        <v>195.31344241814409</v>
      </c>
      <c r="G210" s="6">
        <f t="shared" si="15"/>
        <v>7201.1600797439232</v>
      </c>
      <c r="H210" s="7">
        <f t="shared" si="16"/>
        <v>229.21394606138691</v>
      </c>
    </row>
    <row r="211" spans="1:8" x14ac:dyDescent="0.35">
      <c r="A211" s="2" t="str">
        <f>Inputs!$A$5</f>
        <v>L4</v>
      </c>
      <c r="B211" s="3">
        <v>27</v>
      </c>
      <c r="C211" s="3">
        <f t="shared" si="17"/>
        <v>7201.1600797439232</v>
      </c>
      <c r="D211" s="6">
        <f>-PMT(Inputs!$C$5/12, Inputs!$D$5, Inputs!$B$5)</f>
        <v>229.21394606138691</v>
      </c>
      <c r="E211" s="3">
        <f>C211 * (Inputs!$C$5/12)</f>
        <v>33.005317032159645</v>
      </c>
      <c r="F211" s="6">
        <f t="shared" si="14"/>
        <v>196.20862902922727</v>
      </c>
      <c r="G211" s="6">
        <f t="shared" si="15"/>
        <v>7004.951450714696</v>
      </c>
      <c r="H211" s="7">
        <f t="shared" si="16"/>
        <v>229.21394606138691</v>
      </c>
    </row>
    <row r="212" spans="1:8" x14ac:dyDescent="0.35">
      <c r="A212" s="2" t="str">
        <f>Inputs!$A$5</f>
        <v>L4</v>
      </c>
      <c r="B212" s="3">
        <v>28</v>
      </c>
      <c r="C212" s="3">
        <f t="shared" si="17"/>
        <v>7004.951450714696</v>
      </c>
      <c r="D212" s="6">
        <f>-PMT(Inputs!$C$5/12, Inputs!$D$5, Inputs!$B$5)</f>
        <v>229.21394606138691</v>
      </c>
      <c r="E212" s="3">
        <f>C212 * (Inputs!$C$5/12)</f>
        <v>32.106027482442357</v>
      </c>
      <c r="F212" s="6">
        <f t="shared" si="14"/>
        <v>197.10791857894455</v>
      </c>
      <c r="G212" s="6">
        <f t="shared" si="15"/>
        <v>6807.843532135751</v>
      </c>
      <c r="H212" s="7">
        <f t="shared" si="16"/>
        <v>229.21394606138691</v>
      </c>
    </row>
    <row r="213" spans="1:8" x14ac:dyDescent="0.35">
      <c r="A213" s="2" t="str">
        <f>Inputs!$A$5</f>
        <v>L4</v>
      </c>
      <c r="B213" s="3">
        <v>29</v>
      </c>
      <c r="C213" s="3">
        <f t="shared" si="17"/>
        <v>6807.843532135751</v>
      </c>
      <c r="D213" s="6">
        <f>-PMT(Inputs!$C$5/12, Inputs!$D$5, Inputs!$B$5)</f>
        <v>229.21394606138691</v>
      </c>
      <c r="E213" s="3">
        <f>C213 * (Inputs!$C$5/12)</f>
        <v>31.202616188955524</v>
      </c>
      <c r="F213" s="6">
        <f t="shared" si="14"/>
        <v>198.01132987243139</v>
      </c>
      <c r="G213" s="6">
        <f t="shared" si="15"/>
        <v>6609.8322022633192</v>
      </c>
      <c r="H213" s="7">
        <f t="shared" si="16"/>
        <v>229.21394606138691</v>
      </c>
    </row>
    <row r="214" spans="1:8" x14ac:dyDescent="0.35">
      <c r="A214" s="2" t="str">
        <f>Inputs!$A$5</f>
        <v>L4</v>
      </c>
      <c r="B214" s="3">
        <v>30</v>
      </c>
      <c r="C214" s="3">
        <f t="shared" si="17"/>
        <v>6609.8322022633192</v>
      </c>
      <c r="D214" s="6">
        <f>-PMT(Inputs!$C$5/12, Inputs!$D$5, Inputs!$B$5)</f>
        <v>229.21394606138691</v>
      </c>
      <c r="E214" s="3">
        <f>C214 * (Inputs!$C$5/12)</f>
        <v>30.295064260373547</v>
      </c>
      <c r="F214" s="6">
        <f t="shared" si="14"/>
        <v>198.91888180101336</v>
      </c>
      <c r="G214" s="6">
        <f t="shared" si="15"/>
        <v>6410.9133204623058</v>
      </c>
      <c r="H214" s="7">
        <f t="shared" si="16"/>
        <v>229.21394606138691</v>
      </c>
    </row>
    <row r="215" spans="1:8" x14ac:dyDescent="0.35">
      <c r="A215" s="2" t="str">
        <f>Inputs!$A$5</f>
        <v>L4</v>
      </c>
      <c r="B215" s="3">
        <v>31</v>
      </c>
      <c r="C215" s="3">
        <f t="shared" si="17"/>
        <v>6410.9133204623058</v>
      </c>
      <c r="D215" s="6">
        <f>-PMT(Inputs!$C$5/12, Inputs!$D$5, Inputs!$B$5)</f>
        <v>229.21394606138691</v>
      </c>
      <c r="E215" s="3">
        <f>C215 * (Inputs!$C$5/12)</f>
        <v>29.38335271878557</v>
      </c>
      <c r="F215" s="6">
        <f t="shared" si="14"/>
        <v>199.83059334260133</v>
      </c>
      <c r="G215" s="6">
        <f t="shared" si="15"/>
        <v>6211.0827271197049</v>
      </c>
      <c r="H215" s="7">
        <f t="shared" si="16"/>
        <v>229.21394606138691</v>
      </c>
    </row>
    <row r="216" spans="1:8" x14ac:dyDescent="0.35">
      <c r="A216" s="2" t="str">
        <f>Inputs!$A$5</f>
        <v>L4</v>
      </c>
      <c r="B216" s="3">
        <v>32</v>
      </c>
      <c r="C216" s="3">
        <f t="shared" si="17"/>
        <v>6211.0827271197049</v>
      </c>
      <c r="D216" s="6">
        <f>-PMT(Inputs!$C$5/12, Inputs!$D$5, Inputs!$B$5)</f>
        <v>229.21394606138691</v>
      </c>
      <c r="E216" s="3">
        <f>C216 * (Inputs!$C$5/12)</f>
        <v>28.467462499298648</v>
      </c>
      <c r="F216" s="6">
        <f t="shared" si="14"/>
        <v>200.74648356208826</v>
      </c>
      <c r="G216" s="6">
        <f t="shared" si="15"/>
        <v>6010.3362435576164</v>
      </c>
      <c r="H216" s="7">
        <f t="shared" si="16"/>
        <v>229.21394606138691</v>
      </c>
    </row>
    <row r="217" spans="1:8" x14ac:dyDescent="0.35">
      <c r="A217" s="2" t="str">
        <f>Inputs!$A$5</f>
        <v>L4</v>
      </c>
      <c r="B217" s="3">
        <v>33</v>
      </c>
      <c r="C217" s="3">
        <f t="shared" si="17"/>
        <v>6010.3362435576164</v>
      </c>
      <c r="D217" s="6">
        <f>-PMT(Inputs!$C$5/12, Inputs!$D$5, Inputs!$B$5)</f>
        <v>229.21394606138691</v>
      </c>
      <c r="E217" s="3">
        <f>C217 * (Inputs!$C$5/12)</f>
        <v>27.547374449639076</v>
      </c>
      <c r="F217" s="6">
        <f t="shared" si="14"/>
        <v>201.66657161174783</v>
      </c>
      <c r="G217" s="6">
        <f t="shared" si="15"/>
        <v>5808.6696719458687</v>
      </c>
      <c r="H217" s="7">
        <f t="shared" si="16"/>
        <v>229.21394606138691</v>
      </c>
    </row>
    <row r="218" spans="1:8" x14ac:dyDescent="0.35">
      <c r="A218" s="2" t="str">
        <f>Inputs!$A$5</f>
        <v>L4</v>
      </c>
      <c r="B218" s="3">
        <v>34</v>
      </c>
      <c r="C218" s="3">
        <f t="shared" si="17"/>
        <v>5808.6696719458687</v>
      </c>
      <c r="D218" s="6">
        <f>-PMT(Inputs!$C$5/12, Inputs!$D$5, Inputs!$B$5)</f>
        <v>229.21394606138691</v>
      </c>
      <c r="E218" s="3">
        <f>C218 * (Inputs!$C$5/12)</f>
        <v>26.6230693297519</v>
      </c>
      <c r="F218" s="6">
        <f t="shared" si="14"/>
        <v>202.59087673163501</v>
      </c>
      <c r="G218" s="6">
        <f t="shared" si="15"/>
        <v>5606.0787952142337</v>
      </c>
      <c r="H218" s="7">
        <f t="shared" si="16"/>
        <v>229.21394606138691</v>
      </c>
    </row>
    <row r="219" spans="1:8" x14ac:dyDescent="0.35">
      <c r="A219" s="2" t="str">
        <f>Inputs!$A$5</f>
        <v>L4</v>
      </c>
      <c r="B219" s="3">
        <v>35</v>
      </c>
      <c r="C219" s="3">
        <f t="shared" si="17"/>
        <v>5606.0787952142337</v>
      </c>
      <c r="D219" s="6">
        <f>-PMT(Inputs!$C$5/12, Inputs!$D$5, Inputs!$B$5)</f>
        <v>229.21394606138691</v>
      </c>
      <c r="E219" s="3">
        <f>C219 * (Inputs!$C$5/12)</f>
        <v>25.694527811398572</v>
      </c>
      <c r="F219" s="6">
        <f t="shared" si="14"/>
        <v>203.51941824998835</v>
      </c>
      <c r="G219" s="6">
        <f t="shared" si="15"/>
        <v>5402.5593769642455</v>
      </c>
      <c r="H219" s="7">
        <f t="shared" si="16"/>
        <v>229.21394606138691</v>
      </c>
    </row>
    <row r="220" spans="1:8" x14ac:dyDescent="0.35">
      <c r="A220" s="2" t="str">
        <f>Inputs!$A$5</f>
        <v>L4</v>
      </c>
      <c r="B220" s="3">
        <v>36</v>
      </c>
      <c r="C220" s="3">
        <f t="shared" si="17"/>
        <v>5402.5593769642455</v>
      </c>
      <c r="D220" s="6">
        <f>-PMT(Inputs!$C$5/12, Inputs!$D$5, Inputs!$B$5)</f>
        <v>229.21394606138691</v>
      </c>
      <c r="E220" s="3">
        <f>C220 * (Inputs!$C$5/12)</f>
        <v>24.761730477752792</v>
      </c>
      <c r="F220" s="6">
        <f t="shared" si="14"/>
        <v>204.45221558363411</v>
      </c>
      <c r="G220" s="6">
        <f t="shared" si="15"/>
        <v>5198.1071613806116</v>
      </c>
      <c r="H220" s="7">
        <f t="shared" si="16"/>
        <v>229.21394606138691</v>
      </c>
    </row>
    <row r="221" spans="1:8" x14ac:dyDescent="0.35">
      <c r="A221" s="2" t="str">
        <f>Inputs!$A$5</f>
        <v>L4</v>
      </c>
      <c r="B221" s="3">
        <v>37</v>
      </c>
      <c r="C221" s="3">
        <f t="shared" si="17"/>
        <v>5198.1071613806116</v>
      </c>
      <c r="D221" s="6">
        <f>-PMT(Inputs!$C$5/12, Inputs!$D$5, Inputs!$B$5)</f>
        <v>229.21394606138691</v>
      </c>
      <c r="E221" s="3">
        <f>C221 * (Inputs!$C$5/12)</f>
        <v>23.824657822994471</v>
      </c>
      <c r="F221" s="6">
        <f t="shared" si="14"/>
        <v>205.38928823839242</v>
      </c>
      <c r="G221" s="6">
        <f t="shared" si="15"/>
        <v>4992.7178731422191</v>
      </c>
      <c r="H221" s="7">
        <f t="shared" si="16"/>
        <v>229.21394606138691</v>
      </c>
    </row>
    <row r="222" spans="1:8" x14ac:dyDescent="0.35">
      <c r="A222" s="2" t="str">
        <f>Inputs!$A$5</f>
        <v>L4</v>
      </c>
      <c r="B222" s="3">
        <v>38</v>
      </c>
      <c r="C222" s="3">
        <f t="shared" si="17"/>
        <v>4992.7178731422191</v>
      </c>
      <c r="D222" s="6">
        <f>-PMT(Inputs!$C$5/12, Inputs!$D$5, Inputs!$B$5)</f>
        <v>229.21394606138691</v>
      </c>
      <c r="E222" s="3">
        <f>C222 * (Inputs!$C$5/12)</f>
        <v>22.883290251901837</v>
      </c>
      <c r="F222" s="6">
        <f t="shared" si="14"/>
        <v>206.33065580948508</v>
      </c>
      <c r="G222" s="6">
        <f t="shared" si="15"/>
        <v>4786.3872173327336</v>
      </c>
      <c r="H222" s="7">
        <f t="shared" si="16"/>
        <v>229.21394606138691</v>
      </c>
    </row>
    <row r="223" spans="1:8" x14ac:dyDescent="0.35">
      <c r="A223" s="2" t="str">
        <f>Inputs!$A$5</f>
        <v>L4</v>
      </c>
      <c r="B223" s="3">
        <v>39</v>
      </c>
      <c r="C223" s="3">
        <f t="shared" si="17"/>
        <v>4786.3872173327336</v>
      </c>
      <c r="D223" s="6">
        <f>-PMT(Inputs!$C$5/12, Inputs!$D$5, Inputs!$B$5)</f>
        <v>229.21394606138691</v>
      </c>
      <c r="E223" s="3">
        <f>C223 * (Inputs!$C$5/12)</f>
        <v>21.937608079441695</v>
      </c>
      <c r="F223" s="6">
        <f t="shared" si="14"/>
        <v>207.2763379819452</v>
      </c>
      <c r="G223" s="6">
        <f t="shared" si="15"/>
        <v>4579.1108793507883</v>
      </c>
      <c r="H223" s="7">
        <f t="shared" si="16"/>
        <v>229.21394606138691</v>
      </c>
    </row>
    <row r="224" spans="1:8" x14ac:dyDescent="0.35">
      <c r="A224" s="2" t="str">
        <f>Inputs!$A$5</f>
        <v>L4</v>
      </c>
      <c r="B224" s="3">
        <v>40</v>
      </c>
      <c r="C224" s="3">
        <f t="shared" si="17"/>
        <v>4579.1108793507883</v>
      </c>
      <c r="D224" s="6">
        <f>-PMT(Inputs!$C$5/12, Inputs!$D$5, Inputs!$B$5)</f>
        <v>229.21394606138691</v>
      </c>
      <c r="E224" s="3">
        <f>C224 * (Inputs!$C$5/12)</f>
        <v>20.987591530357779</v>
      </c>
      <c r="F224" s="6">
        <f t="shared" si="14"/>
        <v>208.22635453102913</v>
      </c>
      <c r="G224" s="6">
        <f t="shared" si="15"/>
        <v>4370.8845248197595</v>
      </c>
      <c r="H224" s="7">
        <f t="shared" si="16"/>
        <v>229.21394606138691</v>
      </c>
    </row>
    <row r="225" spans="1:8" x14ac:dyDescent="0.35">
      <c r="A225" s="2" t="str">
        <f>Inputs!$A$5</f>
        <v>L4</v>
      </c>
      <c r="B225" s="3">
        <v>41</v>
      </c>
      <c r="C225" s="3">
        <f t="shared" si="17"/>
        <v>4370.8845248197595</v>
      </c>
      <c r="D225" s="6">
        <f>-PMT(Inputs!$C$5/12, Inputs!$D$5, Inputs!$B$5)</f>
        <v>229.21394606138691</v>
      </c>
      <c r="E225" s="3">
        <f>C225 * (Inputs!$C$5/12)</f>
        <v>20.03322073875723</v>
      </c>
      <c r="F225" s="6">
        <f t="shared" si="14"/>
        <v>209.18072532262968</v>
      </c>
      <c r="G225" s="6">
        <f t="shared" si="15"/>
        <v>4161.7037994971297</v>
      </c>
      <c r="H225" s="7">
        <f t="shared" si="16"/>
        <v>229.21394606138691</v>
      </c>
    </row>
    <row r="226" spans="1:8" x14ac:dyDescent="0.35">
      <c r="A226" s="2" t="str">
        <f>Inputs!$A$5</f>
        <v>L4</v>
      </c>
      <c r="B226" s="3">
        <v>42</v>
      </c>
      <c r="C226" s="3">
        <f t="shared" si="17"/>
        <v>4161.7037994971297</v>
      </c>
      <c r="D226" s="6">
        <f>-PMT(Inputs!$C$5/12, Inputs!$D$5, Inputs!$B$5)</f>
        <v>229.21394606138691</v>
      </c>
      <c r="E226" s="3">
        <f>C226 * (Inputs!$C$5/12)</f>
        <v>19.074475747695178</v>
      </c>
      <c r="F226" s="6">
        <f t="shared" si="14"/>
        <v>210.13947031369173</v>
      </c>
      <c r="G226" s="6">
        <f t="shared" si="15"/>
        <v>3951.5643291834381</v>
      </c>
      <c r="H226" s="7">
        <f t="shared" si="16"/>
        <v>229.21394606138691</v>
      </c>
    </row>
    <row r="227" spans="1:8" x14ac:dyDescent="0.35">
      <c r="A227" s="2" t="str">
        <f>Inputs!$A$5</f>
        <v>L4</v>
      </c>
      <c r="B227" s="3">
        <v>43</v>
      </c>
      <c r="C227" s="3">
        <f t="shared" si="17"/>
        <v>3951.5643291834381</v>
      </c>
      <c r="D227" s="6">
        <f>-PMT(Inputs!$C$5/12, Inputs!$D$5, Inputs!$B$5)</f>
        <v>229.21394606138691</v>
      </c>
      <c r="E227" s="3">
        <f>C227 * (Inputs!$C$5/12)</f>
        <v>18.111336508757425</v>
      </c>
      <c r="F227" s="6">
        <f t="shared" si="14"/>
        <v>211.10260955262947</v>
      </c>
      <c r="G227" s="6">
        <f t="shared" si="15"/>
        <v>3740.4617196308086</v>
      </c>
      <c r="H227" s="7">
        <f t="shared" si="16"/>
        <v>229.21394606138691</v>
      </c>
    </row>
    <row r="228" spans="1:8" x14ac:dyDescent="0.35">
      <c r="A228" s="2" t="str">
        <f>Inputs!$A$5</f>
        <v>L4</v>
      </c>
      <c r="B228" s="3">
        <v>44</v>
      </c>
      <c r="C228" s="3">
        <f t="shared" si="17"/>
        <v>3740.4617196308086</v>
      </c>
      <c r="D228" s="6">
        <f>-PMT(Inputs!$C$5/12, Inputs!$D$5, Inputs!$B$5)</f>
        <v>229.21394606138691</v>
      </c>
      <c r="E228" s="3">
        <f>C228 * (Inputs!$C$5/12)</f>
        <v>17.143782881641208</v>
      </c>
      <c r="F228" s="6">
        <f t="shared" si="14"/>
        <v>212.07016317974569</v>
      </c>
      <c r="G228" s="6">
        <f t="shared" si="15"/>
        <v>3528.391556451063</v>
      </c>
      <c r="H228" s="7">
        <f t="shared" si="16"/>
        <v>229.21394606138691</v>
      </c>
    </row>
    <row r="229" spans="1:8" x14ac:dyDescent="0.35">
      <c r="A229" s="2" t="str">
        <f>Inputs!$A$5</f>
        <v>L4</v>
      </c>
      <c r="B229" s="3">
        <v>45</v>
      </c>
      <c r="C229" s="3">
        <f t="shared" si="17"/>
        <v>3528.391556451063</v>
      </c>
      <c r="D229" s="6">
        <f>-PMT(Inputs!$C$5/12, Inputs!$D$5, Inputs!$B$5)</f>
        <v>229.21394606138691</v>
      </c>
      <c r="E229" s="3">
        <f>C229 * (Inputs!$C$5/12)</f>
        <v>16.171794633734038</v>
      </c>
      <c r="F229" s="6">
        <f t="shared" si="14"/>
        <v>213.04215142765287</v>
      </c>
      <c r="G229" s="6">
        <f t="shared" si="15"/>
        <v>3315.3494050234103</v>
      </c>
      <c r="H229" s="7">
        <f t="shared" si="16"/>
        <v>229.21394606138691</v>
      </c>
    </row>
    <row r="230" spans="1:8" x14ac:dyDescent="0.35">
      <c r="A230" s="2" t="str">
        <f>Inputs!$A$5</f>
        <v>L4</v>
      </c>
      <c r="B230" s="3">
        <v>46</v>
      </c>
      <c r="C230" s="3">
        <f t="shared" si="17"/>
        <v>3315.3494050234103</v>
      </c>
      <c r="D230" s="6">
        <f>-PMT(Inputs!$C$5/12, Inputs!$D$5, Inputs!$B$5)</f>
        <v>229.21394606138691</v>
      </c>
      <c r="E230" s="3">
        <f>C230 * (Inputs!$C$5/12)</f>
        <v>15.195351439690631</v>
      </c>
      <c r="F230" s="6">
        <f t="shared" si="14"/>
        <v>214.01859462169628</v>
      </c>
      <c r="G230" s="6">
        <f t="shared" si="15"/>
        <v>3101.3308104017142</v>
      </c>
      <c r="H230" s="7">
        <f t="shared" si="16"/>
        <v>229.21394606138691</v>
      </c>
    </row>
    <row r="231" spans="1:8" x14ac:dyDescent="0.35">
      <c r="A231" s="2" t="str">
        <f>Inputs!$A$5</f>
        <v>L4</v>
      </c>
      <c r="B231" s="3">
        <v>47</v>
      </c>
      <c r="C231" s="3">
        <f t="shared" si="17"/>
        <v>3101.3308104017142</v>
      </c>
      <c r="D231" s="6">
        <f>-PMT(Inputs!$C$5/12, Inputs!$D$5, Inputs!$B$5)</f>
        <v>229.21394606138691</v>
      </c>
      <c r="E231" s="3">
        <f>C231 * (Inputs!$C$5/12)</f>
        <v>14.214432881007857</v>
      </c>
      <c r="F231" s="6">
        <f t="shared" si="14"/>
        <v>214.99951318037904</v>
      </c>
      <c r="G231" s="6">
        <f t="shared" si="15"/>
        <v>2886.3312972213353</v>
      </c>
      <c r="H231" s="7">
        <f t="shared" si="16"/>
        <v>229.21394606138691</v>
      </c>
    </row>
    <row r="232" spans="1:8" x14ac:dyDescent="0.35">
      <c r="A232" s="2" t="str">
        <f>Inputs!$A$5</f>
        <v>L4</v>
      </c>
      <c r="B232" s="3">
        <v>48</v>
      </c>
      <c r="C232" s="3">
        <f t="shared" si="17"/>
        <v>2886.3312972213353</v>
      </c>
      <c r="D232" s="6">
        <f>-PMT(Inputs!$C$5/12, Inputs!$D$5, Inputs!$B$5)</f>
        <v>229.21394606138691</v>
      </c>
      <c r="E232" s="3">
        <f>C232 * (Inputs!$C$5/12)</f>
        <v>13.229018445597786</v>
      </c>
      <c r="F232" s="6">
        <f t="shared" si="14"/>
        <v>215.98492761578913</v>
      </c>
      <c r="G232" s="6">
        <f t="shared" si="15"/>
        <v>2670.346369605546</v>
      </c>
      <c r="H232" s="7">
        <f t="shared" si="16"/>
        <v>229.21394606138691</v>
      </c>
    </row>
    <row r="233" spans="1:8" x14ac:dyDescent="0.35">
      <c r="A233" s="2" t="str">
        <f>Inputs!$A$5</f>
        <v>L4</v>
      </c>
      <c r="B233" s="3">
        <v>49</v>
      </c>
      <c r="C233" s="3">
        <f t="shared" si="17"/>
        <v>2670.346369605546</v>
      </c>
      <c r="D233" s="6">
        <f>-PMT(Inputs!$C$5/12, Inputs!$D$5, Inputs!$B$5)</f>
        <v>229.21394606138691</v>
      </c>
      <c r="E233" s="3">
        <f>C233 * (Inputs!$C$5/12)</f>
        <v>12.239087527358752</v>
      </c>
      <c r="F233" s="6">
        <f t="shared" si="14"/>
        <v>216.97485853402816</v>
      </c>
      <c r="G233" s="6">
        <f t="shared" si="15"/>
        <v>2453.3715110715179</v>
      </c>
      <c r="H233" s="7">
        <f t="shared" si="16"/>
        <v>229.21394606138691</v>
      </c>
    </row>
    <row r="234" spans="1:8" x14ac:dyDescent="0.35">
      <c r="A234" s="2" t="str">
        <f>Inputs!$A$5</f>
        <v>L4</v>
      </c>
      <c r="B234" s="3">
        <v>50</v>
      </c>
      <c r="C234" s="3">
        <f t="shared" si="17"/>
        <v>2453.3715110715179</v>
      </c>
      <c r="D234" s="6">
        <f>-PMT(Inputs!$C$5/12, Inputs!$D$5, Inputs!$B$5)</f>
        <v>229.21394606138691</v>
      </c>
      <c r="E234" s="3">
        <f>C234 * (Inputs!$C$5/12)</f>
        <v>11.244619425744457</v>
      </c>
      <c r="F234" s="6">
        <f t="shared" si="14"/>
        <v>217.96932663564246</v>
      </c>
      <c r="G234" s="6">
        <f t="shared" si="15"/>
        <v>2235.4021844358754</v>
      </c>
      <c r="H234" s="7">
        <f t="shared" si="16"/>
        <v>229.21394606138691</v>
      </c>
    </row>
    <row r="235" spans="1:8" x14ac:dyDescent="0.35">
      <c r="A235" s="2" t="str">
        <f>Inputs!$A$5</f>
        <v>L4</v>
      </c>
      <c r="B235" s="3">
        <v>51</v>
      </c>
      <c r="C235" s="3">
        <f t="shared" si="17"/>
        <v>2235.4021844358754</v>
      </c>
      <c r="D235" s="6">
        <f>-PMT(Inputs!$C$5/12, Inputs!$D$5, Inputs!$B$5)</f>
        <v>229.21394606138691</v>
      </c>
      <c r="E235" s="3">
        <f>C235 * (Inputs!$C$5/12)</f>
        <v>10.245593345331095</v>
      </c>
      <c r="F235" s="6">
        <f t="shared" si="14"/>
        <v>218.96835271605582</v>
      </c>
      <c r="G235" s="6">
        <f t="shared" si="15"/>
        <v>2016.4338317198196</v>
      </c>
      <c r="H235" s="7">
        <f t="shared" si="16"/>
        <v>229.21394606138691</v>
      </c>
    </row>
    <row r="236" spans="1:8" x14ac:dyDescent="0.35">
      <c r="A236" s="2" t="str">
        <f>Inputs!$A$5</f>
        <v>L4</v>
      </c>
      <c r="B236" s="3">
        <v>52</v>
      </c>
      <c r="C236" s="3">
        <f t="shared" si="17"/>
        <v>2016.4338317198196</v>
      </c>
      <c r="D236" s="6">
        <f>-PMT(Inputs!$C$5/12, Inputs!$D$5, Inputs!$B$5)</f>
        <v>229.21394606138691</v>
      </c>
      <c r="E236" s="3">
        <f>C236 * (Inputs!$C$5/12)</f>
        <v>9.2419883953825064</v>
      </c>
      <c r="F236" s="6">
        <f t="shared" si="14"/>
        <v>219.97195766600441</v>
      </c>
      <c r="G236" s="6">
        <f t="shared" si="15"/>
        <v>1796.4618740538153</v>
      </c>
      <c r="H236" s="7">
        <f t="shared" si="16"/>
        <v>229.21394606138691</v>
      </c>
    </row>
    <row r="237" spans="1:8" x14ac:dyDescent="0.35">
      <c r="A237" s="2" t="str">
        <f>Inputs!$A$5</f>
        <v>L4</v>
      </c>
      <c r="B237" s="3">
        <v>53</v>
      </c>
      <c r="C237" s="3">
        <f t="shared" si="17"/>
        <v>1796.4618740538153</v>
      </c>
      <c r="D237" s="6">
        <f>-PMT(Inputs!$C$5/12, Inputs!$D$5, Inputs!$B$5)</f>
        <v>229.21394606138691</v>
      </c>
      <c r="E237" s="3">
        <f>C237 * (Inputs!$C$5/12)</f>
        <v>8.2337835894133207</v>
      </c>
      <c r="F237" s="6">
        <f t="shared" si="14"/>
        <v>220.98016247197359</v>
      </c>
      <c r="G237" s="6">
        <f t="shared" si="15"/>
        <v>1575.4817115818419</v>
      </c>
      <c r="H237" s="7">
        <f t="shared" si="16"/>
        <v>229.21394606138691</v>
      </c>
    </row>
    <row r="238" spans="1:8" x14ac:dyDescent="0.35">
      <c r="A238" s="2" t="str">
        <f>Inputs!$A$5</f>
        <v>L4</v>
      </c>
      <c r="B238" s="3">
        <v>54</v>
      </c>
      <c r="C238" s="3">
        <f t="shared" si="17"/>
        <v>1575.4817115818419</v>
      </c>
      <c r="D238" s="6">
        <f>-PMT(Inputs!$C$5/12, Inputs!$D$5, Inputs!$B$5)</f>
        <v>229.21394606138691</v>
      </c>
      <c r="E238" s="3">
        <f>C238 * (Inputs!$C$5/12)</f>
        <v>7.2209578447501084</v>
      </c>
      <c r="F238" s="6">
        <f t="shared" si="14"/>
        <v>221.9929882166368</v>
      </c>
      <c r="G238" s="6">
        <f t="shared" si="15"/>
        <v>1353.488723365205</v>
      </c>
      <c r="H238" s="7">
        <f t="shared" si="16"/>
        <v>229.21394606138691</v>
      </c>
    </row>
    <row r="239" spans="1:8" x14ac:dyDescent="0.35">
      <c r="A239" s="2" t="str">
        <f>Inputs!$A$5</f>
        <v>L4</v>
      </c>
      <c r="B239" s="3">
        <v>55</v>
      </c>
      <c r="C239" s="3">
        <f t="shared" si="17"/>
        <v>1353.488723365205</v>
      </c>
      <c r="D239" s="6">
        <f>-PMT(Inputs!$C$5/12, Inputs!$D$5, Inputs!$B$5)</f>
        <v>229.21394606138691</v>
      </c>
      <c r="E239" s="3">
        <f>C239 * (Inputs!$C$5/12)</f>
        <v>6.2034899820905229</v>
      </c>
      <c r="F239" s="6">
        <f t="shared" si="14"/>
        <v>223.01045607929638</v>
      </c>
      <c r="G239" s="6">
        <f t="shared" si="15"/>
        <v>1130.4782672859087</v>
      </c>
      <c r="H239" s="7">
        <f t="shared" si="16"/>
        <v>229.21394606138691</v>
      </c>
    </row>
    <row r="240" spans="1:8" x14ac:dyDescent="0.35">
      <c r="A240" s="2" t="str">
        <f>Inputs!$A$5</f>
        <v>L4</v>
      </c>
      <c r="B240" s="3">
        <v>56</v>
      </c>
      <c r="C240" s="3">
        <f t="shared" si="17"/>
        <v>1130.4782672859087</v>
      </c>
      <c r="D240" s="6">
        <f>-PMT(Inputs!$C$5/12, Inputs!$D$5, Inputs!$B$5)</f>
        <v>229.21394606138691</v>
      </c>
      <c r="E240" s="3">
        <f>C240 * (Inputs!$C$5/12)</f>
        <v>5.1813587250604147</v>
      </c>
      <c r="F240" s="6">
        <f t="shared" si="14"/>
        <v>224.03258733632649</v>
      </c>
      <c r="G240" s="6">
        <f t="shared" si="15"/>
        <v>906.4456799495822</v>
      </c>
      <c r="H240" s="7">
        <f t="shared" si="16"/>
        <v>229.21394606138691</v>
      </c>
    </row>
    <row r="241" spans="1:8" x14ac:dyDescent="0.35">
      <c r="A241" s="2" t="str">
        <f>Inputs!$A$5</f>
        <v>L4</v>
      </c>
      <c r="B241" s="3">
        <v>57</v>
      </c>
      <c r="C241" s="3">
        <f t="shared" si="17"/>
        <v>906.4456799495822</v>
      </c>
      <c r="D241" s="6">
        <f>-PMT(Inputs!$C$5/12, Inputs!$D$5, Inputs!$B$5)</f>
        <v>229.21394606138691</v>
      </c>
      <c r="E241" s="3">
        <f>C241 * (Inputs!$C$5/12)</f>
        <v>4.1545426997689185</v>
      </c>
      <c r="F241" s="6">
        <f t="shared" si="14"/>
        <v>225.059403361618</v>
      </c>
      <c r="G241" s="6">
        <f t="shared" si="15"/>
        <v>681.38627658796418</v>
      </c>
      <c r="H241" s="7">
        <f t="shared" si="16"/>
        <v>229.21394606138691</v>
      </c>
    </row>
    <row r="242" spans="1:8" x14ac:dyDescent="0.35">
      <c r="A242" s="2" t="str">
        <f>Inputs!$A$5</f>
        <v>L4</v>
      </c>
      <c r="B242" s="3">
        <v>58</v>
      </c>
      <c r="C242" s="3">
        <f t="shared" si="17"/>
        <v>681.38627658796418</v>
      </c>
      <c r="D242" s="6">
        <f>-PMT(Inputs!$C$5/12, Inputs!$D$5, Inputs!$B$5)</f>
        <v>229.21394606138691</v>
      </c>
      <c r="E242" s="3">
        <f>C242 * (Inputs!$C$5/12)</f>
        <v>3.1230204343615027</v>
      </c>
      <c r="F242" s="6">
        <f t="shared" si="14"/>
        <v>226.0909256270254</v>
      </c>
      <c r="G242" s="6">
        <f t="shared" si="15"/>
        <v>455.29535096093878</v>
      </c>
      <c r="H242" s="7">
        <f t="shared" si="16"/>
        <v>229.21394606138691</v>
      </c>
    </row>
    <row r="243" spans="1:8" x14ac:dyDescent="0.35">
      <c r="A243" s="2" t="str">
        <f>Inputs!$A$5</f>
        <v>L4</v>
      </c>
      <c r="B243" s="3">
        <v>59</v>
      </c>
      <c r="C243" s="3">
        <f t="shared" si="17"/>
        <v>455.29535096093878</v>
      </c>
      <c r="D243" s="6">
        <f>-PMT(Inputs!$C$5/12, Inputs!$D$5, Inputs!$B$5)</f>
        <v>229.21394606138691</v>
      </c>
      <c r="E243" s="3">
        <f>C243 * (Inputs!$C$5/12)</f>
        <v>2.0867703585709694</v>
      </c>
      <c r="F243" s="6">
        <f t="shared" si="14"/>
        <v>227.12717570281595</v>
      </c>
      <c r="G243" s="6">
        <f t="shared" si="15"/>
        <v>228.16817525812283</v>
      </c>
      <c r="H243" s="7">
        <f t="shared" si="16"/>
        <v>229.21394606138691</v>
      </c>
    </row>
    <row r="244" spans="1:8" x14ac:dyDescent="0.35">
      <c r="A244" s="2" t="str">
        <f>Inputs!$A$5</f>
        <v>L4</v>
      </c>
      <c r="B244" s="4">
        <v>60</v>
      </c>
      <c r="C244" s="4">
        <f t="shared" si="17"/>
        <v>228.16817525812283</v>
      </c>
      <c r="D244" s="6">
        <f>-PMT(Inputs!$C$5/12, Inputs!$D$5, Inputs!$B$5)</f>
        <v>229.21394606138691</v>
      </c>
      <c r="E244" s="3">
        <f>C244 * (Inputs!$C$5/12)</f>
        <v>1.0457708032663964</v>
      </c>
      <c r="F244" s="6">
        <f t="shared" si="14"/>
        <v>228.1681752581205</v>
      </c>
      <c r="G244" s="6">
        <f t="shared" si="15"/>
        <v>2.3305801732931286E-12</v>
      </c>
      <c r="H244" s="7">
        <f t="shared" si="16"/>
        <v>229.21394606138691</v>
      </c>
    </row>
    <row r="246" spans="1:8" x14ac:dyDescent="0.35">
      <c r="A246" s="2" t="str">
        <f>Inputs!$A$6</f>
        <v>L5</v>
      </c>
      <c r="B246" s="3">
        <v>1</v>
      </c>
      <c r="C246" s="3">
        <f>Inputs!$B$6</f>
        <v>40000</v>
      </c>
      <c r="D246" s="6">
        <f>-PMT(Inputs!$C$6/12, Inputs!$D$6, Inputs!$B$6)</f>
        <v>830.33420905416028</v>
      </c>
      <c r="E246" s="3">
        <f>C246 * (Inputs!$C$6/12)</f>
        <v>300</v>
      </c>
      <c r="F246" s="6">
        <f>D246 - E246</f>
        <v>530.33420905416028</v>
      </c>
      <c r="G246" s="6">
        <f>C246 - F246</f>
        <v>39469.665790945837</v>
      </c>
      <c r="H246" s="7">
        <f>D246</f>
        <v>830.33420905416028</v>
      </c>
    </row>
    <row r="247" spans="1:8" x14ac:dyDescent="0.35">
      <c r="A247" s="2" t="str">
        <f>Inputs!$A$6</f>
        <v>L5</v>
      </c>
      <c r="B247" s="3">
        <v>2</v>
      </c>
      <c r="C247" s="6">
        <f>G246</f>
        <v>39469.665790945837</v>
      </c>
      <c r="D247" s="6">
        <f>-PMT(Inputs!$C$6/12, Inputs!$D$6, Inputs!$B$6)</f>
        <v>830.33420905416028</v>
      </c>
      <c r="E247" s="3">
        <f>C247 * (Inputs!$C$6/12)</f>
        <v>296.02249343209377</v>
      </c>
      <c r="F247" s="6">
        <f t="shared" ref="F247:F305" si="18">D247 - E247</f>
        <v>534.31171562206646</v>
      </c>
      <c r="G247" s="6">
        <f t="shared" ref="G247:G304" si="19">C247 - F247</f>
        <v>38935.354075323768</v>
      </c>
      <c r="H247" s="7">
        <f>D247</f>
        <v>830.33420905416028</v>
      </c>
    </row>
    <row r="248" spans="1:8" x14ac:dyDescent="0.35">
      <c r="A248" s="2" t="str">
        <f>Inputs!$A$6</f>
        <v>L5</v>
      </c>
      <c r="B248" s="3">
        <v>3</v>
      </c>
      <c r="C248" s="6">
        <f t="shared" ref="C248:C305" si="20">G247</f>
        <v>38935.354075323768</v>
      </c>
      <c r="D248" s="6">
        <f>-PMT(Inputs!$C$6/12, Inputs!$D$6, Inputs!$B$6)</f>
        <v>830.33420905416028</v>
      </c>
      <c r="E248" s="3">
        <f>C248 * (Inputs!$C$6/12)</f>
        <v>292.01515556492825</v>
      </c>
      <c r="F248" s="6">
        <f t="shared" si="18"/>
        <v>538.31905348923203</v>
      </c>
      <c r="G248" s="6">
        <f t="shared" si="19"/>
        <v>38397.035021834534</v>
      </c>
      <c r="H248" s="7">
        <f t="shared" ref="H248:H279" si="21">D246</f>
        <v>830.33420905416028</v>
      </c>
    </row>
    <row r="249" spans="1:8" x14ac:dyDescent="0.35">
      <c r="A249" s="2" t="str">
        <f>Inputs!$A$6</f>
        <v>L5</v>
      </c>
      <c r="B249" s="3">
        <v>4</v>
      </c>
      <c r="C249" s="6">
        <f t="shared" si="20"/>
        <v>38397.035021834534</v>
      </c>
      <c r="D249" s="6">
        <f>-PMT(Inputs!$C$6/12, Inputs!$D$6, Inputs!$B$6)</f>
        <v>830.33420905416028</v>
      </c>
      <c r="E249" s="3">
        <f>C249 * (Inputs!$C$6/12)</f>
        <v>287.97776266375899</v>
      </c>
      <c r="F249" s="6">
        <f t="shared" si="18"/>
        <v>542.35644639040129</v>
      </c>
      <c r="G249" s="6">
        <f t="shared" si="19"/>
        <v>37854.67857544413</v>
      </c>
      <c r="H249" s="7">
        <f t="shared" si="21"/>
        <v>830.33420905416028</v>
      </c>
    </row>
    <row r="250" spans="1:8" x14ac:dyDescent="0.35">
      <c r="A250" s="2" t="str">
        <f>Inputs!$A$6</f>
        <v>L5</v>
      </c>
      <c r="B250" s="3">
        <v>5</v>
      </c>
      <c r="C250" s="6">
        <f t="shared" si="20"/>
        <v>37854.67857544413</v>
      </c>
      <c r="D250" s="6">
        <f>-PMT(Inputs!$C$6/12, Inputs!$D$6, Inputs!$B$6)</f>
        <v>830.33420905416028</v>
      </c>
      <c r="E250" s="3">
        <f>C250 * (Inputs!$C$6/12)</f>
        <v>283.91008931583099</v>
      </c>
      <c r="F250" s="6">
        <f t="shared" si="18"/>
        <v>546.4241197383293</v>
      </c>
      <c r="G250" s="6">
        <f t="shared" si="19"/>
        <v>37308.254455705799</v>
      </c>
      <c r="H250" s="7">
        <f t="shared" si="21"/>
        <v>830.33420905416028</v>
      </c>
    </row>
    <row r="251" spans="1:8" x14ac:dyDescent="0.35">
      <c r="A251" s="2" t="str">
        <f>Inputs!$A$6</f>
        <v>L5</v>
      </c>
      <c r="B251" s="3">
        <v>6</v>
      </c>
      <c r="C251" s="6">
        <f t="shared" si="20"/>
        <v>37308.254455705799</v>
      </c>
      <c r="D251" s="6">
        <f>-PMT(Inputs!$C$6/12, Inputs!$D$6, Inputs!$B$6)</f>
        <v>830.33420905416028</v>
      </c>
      <c r="E251" s="3">
        <f>C251 * (Inputs!$C$6/12)</f>
        <v>279.81190841779346</v>
      </c>
      <c r="F251" s="6">
        <f t="shared" si="18"/>
        <v>550.52230063636682</v>
      </c>
      <c r="G251" s="6">
        <f t="shared" si="19"/>
        <v>36757.732155069432</v>
      </c>
      <c r="H251" s="7">
        <f t="shared" si="21"/>
        <v>830.33420905416028</v>
      </c>
    </row>
    <row r="252" spans="1:8" x14ac:dyDescent="0.35">
      <c r="A252" s="2" t="str">
        <f>Inputs!$A$6</f>
        <v>L5</v>
      </c>
      <c r="B252" s="3">
        <v>7</v>
      </c>
      <c r="C252" s="6">
        <f t="shared" si="20"/>
        <v>36757.732155069432</v>
      </c>
      <c r="D252" s="6">
        <f>-PMT(Inputs!$C$6/12, Inputs!$D$6, Inputs!$B$6)</f>
        <v>830.33420905416028</v>
      </c>
      <c r="E252" s="3">
        <f>C252 * (Inputs!$C$6/12)</f>
        <v>275.68299116302074</v>
      </c>
      <c r="F252" s="6">
        <f t="shared" si="18"/>
        <v>554.65121789113959</v>
      </c>
      <c r="G252" s="6">
        <f t="shared" si="19"/>
        <v>36203.080937178296</v>
      </c>
      <c r="H252" s="7">
        <f t="shared" si="21"/>
        <v>830.33420905416028</v>
      </c>
    </row>
    <row r="253" spans="1:8" x14ac:dyDescent="0.35">
      <c r="A253" s="2" t="str">
        <f>Inputs!$A$6</f>
        <v>L5</v>
      </c>
      <c r="B253" s="3">
        <v>8</v>
      </c>
      <c r="C253" s="6">
        <f t="shared" si="20"/>
        <v>36203.080937178296</v>
      </c>
      <c r="D253" s="6">
        <f>-PMT(Inputs!$C$6/12, Inputs!$D$6, Inputs!$B$6)</f>
        <v>830.33420905416028</v>
      </c>
      <c r="E253" s="3">
        <f>C253 * (Inputs!$C$6/12)</f>
        <v>271.52310702883722</v>
      </c>
      <c r="F253" s="6">
        <f t="shared" si="18"/>
        <v>558.81110202532307</v>
      </c>
      <c r="G253" s="6">
        <f t="shared" si="19"/>
        <v>35644.269835152976</v>
      </c>
      <c r="H253" s="7">
        <f t="shared" si="21"/>
        <v>830.33420905416028</v>
      </c>
    </row>
    <row r="254" spans="1:8" x14ac:dyDescent="0.35">
      <c r="A254" s="2" t="str">
        <f>Inputs!$A$6</f>
        <v>L5</v>
      </c>
      <c r="B254" s="3">
        <v>9</v>
      </c>
      <c r="C254" s="6">
        <f t="shared" si="20"/>
        <v>35644.269835152976</v>
      </c>
      <c r="D254" s="6">
        <f>-PMT(Inputs!$C$6/12, Inputs!$D$6, Inputs!$B$6)</f>
        <v>830.33420905416028</v>
      </c>
      <c r="E254" s="3">
        <f>C254 * (Inputs!$C$6/12)</f>
        <v>267.33202376364733</v>
      </c>
      <c r="F254" s="6">
        <f t="shared" si="18"/>
        <v>563.0021852905129</v>
      </c>
      <c r="G254" s="6">
        <f t="shared" si="19"/>
        <v>35081.267649862464</v>
      </c>
      <c r="H254" s="7">
        <f t="shared" si="21"/>
        <v>830.33420905416028</v>
      </c>
    </row>
    <row r="255" spans="1:8" x14ac:dyDescent="0.35">
      <c r="A255" s="2" t="str">
        <f>Inputs!$A$6</f>
        <v>L5</v>
      </c>
      <c r="B255" s="3">
        <v>10</v>
      </c>
      <c r="C255" s="6">
        <f t="shared" si="20"/>
        <v>35081.267649862464</v>
      </c>
      <c r="D255" s="6">
        <f>-PMT(Inputs!$C$6/12, Inputs!$D$6, Inputs!$B$6)</f>
        <v>830.33420905416028</v>
      </c>
      <c r="E255" s="3">
        <f>C255 * (Inputs!$C$6/12)</f>
        <v>263.10950737396848</v>
      </c>
      <c r="F255" s="6">
        <f t="shared" si="18"/>
        <v>567.22470168019186</v>
      </c>
      <c r="G255" s="6">
        <f t="shared" si="19"/>
        <v>34514.042948182272</v>
      </c>
      <c r="H255" s="7">
        <f t="shared" si="21"/>
        <v>830.33420905416028</v>
      </c>
    </row>
    <row r="256" spans="1:8" x14ac:dyDescent="0.35">
      <c r="A256" s="2" t="str">
        <f>Inputs!$A$6</f>
        <v>L5</v>
      </c>
      <c r="B256" s="3">
        <v>11</v>
      </c>
      <c r="C256" s="6">
        <f t="shared" si="20"/>
        <v>34514.042948182272</v>
      </c>
      <c r="D256" s="6">
        <f>-PMT(Inputs!$C$6/12, Inputs!$D$6, Inputs!$B$6)</f>
        <v>830.33420905416028</v>
      </c>
      <c r="E256" s="3">
        <f>C256 * (Inputs!$C$6/12)</f>
        <v>258.85532211136706</v>
      </c>
      <c r="F256" s="6">
        <f t="shared" si="18"/>
        <v>571.47888694279322</v>
      </c>
      <c r="G256" s="6">
        <f t="shared" si="19"/>
        <v>33942.564061239478</v>
      </c>
      <c r="H256" s="7">
        <f t="shared" si="21"/>
        <v>830.33420905416028</v>
      </c>
    </row>
    <row r="257" spans="1:8" x14ac:dyDescent="0.35">
      <c r="A257" s="2" t="str">
        <f>Inputs!$A$6</f>
        <v>L5</v>
      </c>
      <c r="B257" s="3">
        <v>12</v>
      </c>
      <c r="C257" s="6">
        <f t="shared" si="20"/>
        <v>33942.564061239478</v>
      </c>
      <c r="D257" s="6">
        <f>-PMT(Inputs!$C$6/12, Inputs!$D$6, Inputs!$B$6)</f>
        <v>830.33420905416028</v>
      </c>
      <c r="E257" s="3">
        <f>C257 * (Inputs!$C$6/12)</f>
        <v>254.56923045929608</v>
      </c>
      <c r="F257" s="6">
        <f t="shared" si="18"/>
        <v>575.76497859486426</v>
      </c>
      <c r="G257" s="6">
        <f t="shared" si="19"/>
        <v>33366.799082644611</v>
      </c>
      <c r="H257" s="7">
        <f t="shared" si="21"/>
        <v>830.33420905416028</v>
      </c>
    </row>
    <row r="258" spans="1:8" x14ac:dyDescent="0.35">
      <c r="A258" s="2" t="str">
        <f>Inputs!$A$6</f>
        <v>L5</v>
      </c>
      <c r="B258" s="3">
        <v>13</v>
      </c>
      <c r="C258" s="6">
        <f t="shared" si="20"/>
        <v>33366.799082644611</v>
      </c>
      <c r="D258" s="6">
        <f>-PMT(Inputs!$C$6/12, Inputs!$D$6, Inputs!$B$6)</f>
        <v>830.33420905416028</v>
      </c>
      <c r="E258" s="3">
        <f>C258 * (Inputs!$C$6/12)</f>
        <v>250.25099311983456</v>
      </c>
      <c r="F258" s="6">
        <f t="shared" si="18"/>
        <v>580.08321593432572</v>
      </c>
      <c r="G258" s="6">
        <f t="shared" si="19"/>
        <v>32786.715866710285</v>
      </c>
      <c r="H258" s="7">
        <f t="shared" si="21"/>
        <v>830.33420905416028</v>
      </c>
    </row>
    <row r="259" spans="1:8" x14ac:dyDescent="0.35">
      <c r="A259" s="2" t="str">
        <f>Inputs!$A$6</f>
        <v>L5</v>
      </c>
      <c r="B259" s="3">
        <v>14</v>
      </c>
      <c r="C259" s="6">
        <f t="shared" si="20"/>
        <v>32786.715866710285</v>
      </c>
      <c r="D259" s="6">
        <f>-PMT(Inputs!$C$6/12, Inputs!$D$6, Inputs!$B$6)</f>
        <v>830.33420905416028</v>
      </c>
      <c r="E259" s="3">
        <f>C259 * (Inputs!$C$6/12)</f>
        <v>245.90036900032712</v>
      </c>
      <c r="F259" s="6">
        <f t="shared" si="18"/>
        <v>584.43384005383314</v>
      </c>
      <c r="G259" s="6">
        <f t="shared" si="19"/>
        <v>32202.282026656452</v>
      </c>
      <c r="H259" s="7">
        <f t="shared" si="21"/>
        <v>830.33420905416028</v>
      </c>
    </row>
    <row r="260" spans="1:8" x14ac:dyDescent="0.35">
      <c r="A260" s="2" t="str">
        <f>Inputs!$A$6</f>
        <v>L5</v>
      </c>
      <c r="B260" s="3">
        <v>15</v>
      </c>
      <c r="C260" s="6">
        <f t="shared" si="20"/>
        <v>32202.282026656452</v>
      </c>
      <c r="D260" s="6">
        <f>-PMT(Inputs!$C$6/12, Inputs!$D$6, Inputs!$B$6)</f>
        <v>830.33420905416028</v>
      </c>
      <c r="E260" s="3">
        <f>C260 * (Inputs!$C$6/12)</f>
        <v>241.51711519992338</v>
      </c>
      <c r="F260" s="6">
        <f t="shared" si="18"/>
        <v>588.81709385423687</v>
      </c>
      <c r="G260" s="6">
        <f t="shared" si="19"/>
        <v>31613.464932802217</v>
      </c>
      <c r="H260" s="7">
        <f t="shared" si="21"/>
        <v>830.33420905416028</v>
      </c>
    </row>
    <row r="261" spans="1:8" x14ac:dyDescent="0.35">
      <c r="A261" s="2" t="str">
        <f>Inputs!$A$6</f>
        <v>L5</v>
      </c>
      <c r="B261" s="3">
        <v>16</v>
      </c>
      <c r="C261" s="6">
        <f t="shared" si="20"/>
        <v>31613.464932802217</v>
      </c>
      <c r="D261" s="6">
        <f>-PMT(Inputs!$C$6/12, Inputs!$D$6, Inputs!$B$6)</f>
        <v>830.33420905416028</v>
      </c>
      <c r="E261" s="3">
        <f>C261 * (Inputs!$C$6/12)</f>
        <v>237.10098699601662</v>
      </c>
      <c r="F261" s="6">
        <f t="shared" si="18"/>
        <v>593.23322205814361</v>
      </c>
      <c r="G261" s="6">
        <f t="shared" si="19"/>
        <v>31020.231710744072</v>
      </c>
      <c r="H261" s="7">
        <f t="shared" si="21"/>
        <v>830.33420905416028</v>
      </c>
    </row>
    <row r="262" spans="1:8" x14ac:dyDescent="0.35">
      <c r="A262" s="2" t="str">
        <f>Inputs!$A$6</f>
        <v>L5</v>
      </c>
      <c r="B262" s="3">
        <v>17</v>
      </c>
      <c r="C262" s="6">
        <f t="shared" si="20"/>
        <v>31020.231710744072</v>
      </c>
      <c r="D262" s="6">
        <f>-PMT(Inputs!$C$6/12, Inputs!$D$6, Inputs!$B$6)</f>
        <v>830.33420905416028</v>
      </c>
      <c r="E262" s="3">
        <f>C262 * (Inputs!$C$6/12)</f>
        <v>232.65173783058054</v>
      </c>
      <c r="F262" s="6">
        <f t="shared" si="18"/>
        <v>597.6824712235798</v>
      </c>
      <c r="G262" s="6">
        <f t="shared" si="19"/>
        <v>30422.549239520493</v>
      </c>
      <c r="H262" s="7">
        <f t="shared" si="21"/>
        <v>830.33420905416028</v>
      </c>
    </row>
    <row r="263" spans="1:8" x14ac:dyDescent="0.35">
      <c r="A263" s="2" t="str">
        <f>Inputs!$A$6</f>
        <v>L5</v>
      </c>
      <c r="B263" s="3">
        <v>18</v>
      </c>
      <c r="C263" s="6">
        <f t="shared" si="20"/>
        <v>30422.549239520493</v>
      </c>
      <c r="D263" s="6">
        <f>-PMT(Inputs!$C$6/12, Inputs!$D$6, Inputs!$B$6)</f>
        <v>830.33420905416028</v>
      </c>
      <c r="E263" s="3">
        <f>C263 * (Inputs!$C$6/12)</f>
        <v>228.16911929640369</v>
      </c>
      <c r="F263" s="6">
        <f t="shared" si="18"/>
        <v>602.16508975775662</v>
      </c>
      <c r="G263" s="6">
        <f t="shared" si="19"/>
        <v>29820.384149762736</v>
      </c>
      <c r="H263" s="7">
        <f t="shared" si="21"/>
        <v>830.33420905416028</v>
      </c>
    </row>
    <row r="264" spans="1:8" x14ac:dyDescent="0.35">
      <c r="A264" s="2" t="str">
        <f>Inputs!$A$6</f>
        <v>L5</v>
      </c>
      <c r="B264" s="3">
        <v>19</v>
      </c>
      <c r="C264" s="6">
        <f t="shared" si="20"/>
        <v>29820.384149762736</v>
      </c>
      <c r="D264" s="6">
        <f>-PMT(Inputs!$C$6/12, Inputs!$D$6, Inputs!$B$6)</f>
        <v>830.33420905416028</v>
      </c>
      <c r="E264" s="3">
        <f>C264 * (Inputs!$C$6/12)</f>
        <v>223.65288112322051</v>
      </c>
      <c r="F264" s="6">
        <f t="shared" si="18"/>
        <v>606.6813279309398</v>
      </c>
      <c r="G264" s="6">
        <f t="shared" si="19"/>
        <v>29213.702821831797</v>
      </c>
      <c r="H264" s="7">
        <f t="shared" si="21"/>
        <v>830.33420905416028</v>
      </c>
    </row>
    <row r="265" spans="1:8" x14ac:dyDescent="0.35">
      <c r="A265" s="2" t="str">
        <f>Inputs!$A$6</f>
        <v>L5</v>
      </c>
      <c r="B265" s="3">
        <v>20</v>
      </c>
      <c r="C265" s="6">
        <f t="shared" si="20"/>
        <v>29213.702821831797</v>
      </c>
      <c r="D265" s="6">
        <f>-PMT(Inputs!$C$6/12, Inputs!$D$6, Inputs!$B$6)</f>
        <v>830.33420905416028</v>
      </c>
      <c r="E265" s="3">
        <f>C265 * (Inputs!$C$6/12)</f>
        <v>219.10277116373848</v>
      </c>
      <c r="F265" s="6">
        <f t="shared" si="18"/>
        <v>611.23143789042183</v>
      </c>
      <c r="G265" s="6">
        <f t="shared" si="19"/>
        <v>28602.471383941374</v>
      </c>
      <c r="H265" s="7">
        <f t="shared" si="21"/>
        <v>830.33420905416028</v>
      </c>
    </row>
    <row r="266" spans="1:8" x14ac:dyDescent="0.35">
      <c r="A266" s="2" t="str">
        <f>Inputs!$A$6</f>
        <v>L5</v>
      </c>
      <c r="B266" s="3">
        <v>21</v>
      </c>
      <c r="C266" s="6">
        <f t="shared" si="20"/>
        <v>28602.471383941374</v>
      </c>
      <c r="D266" s="6">
        <f>-PMT(Inputs!$C$6/12, Inputs!$D$6, Inputs!$B$6)</f>
        <v>830.33420905416028</v>
      </c>
      <c r="E266" s="3">
        <f>C266 * (Inputs!$C$6/12)</f>
        <v>214.51853537956029</v>
      </c>
      <c r="F266" s="6">
        <f t="shared" si="18"/>
        <v>615.81567367460002</v>
      </c>
      <c r="G266" s="6">
        <f t="shared" si="19"/>
        <v>27986.655710266776</v>
      </c>
      <c r="H266" s="7">
        <f t="shared" si="21"/>
        <v>830.33420905416028</v>
      </c>
    </row>
    <row r="267" spans="1:8" x14ac:dyDescent="0.35">
      <c r="A267" s="2" t="str">
        <f>Inputs!$A$6</f>
        <v>L5</v>
      </c>
      <c r="B267" s="3">
        <v>22</v>
      </c>
      <c r="C267" s="6">
        <f t="shared" si="20"/>
        <v>27986.655710266776</v>
      </c>
      <c r="D267" s="6">
        <f>-PMT(Inputs!$C$6/12, Inputs!$D$6, Inputs!$B$6)</f>
        <v>830.33420905416028</v>
      </c>
      <c r="E267" s="3">
        <f>C267 * (Inputs!$C$6/12)</f>
        <v>209.89991782700082</v>
      </c>
      <c r="F267" s="6">
        <f t="shared" si="18"/>
        <v>620.43429122715952</v>
      </c>
      <c r="G267" s="6">
        <f t="shared" si="19"/>
        <v>27366.221419039615</v>
      </c>
      <c r="H267" s="7">
        <f t="shared" si="21"/>
        <v>830.33420905416028</v>
      </c>
    </row>
    <row r="268" spans="1:8" x14ac:dyDescent="0.35">
      <c r="A268" s="2" t="str">
        <f>Inputs!$A$6</f>
        <v>L5</v>
      </c>
      <c r="B268" s="3">
        <v>23</v>
      </c>
      <c r="C268" s="6">
        <f t="shared" si="20"/>
        <v>27366.221419039615</v>
      </c>
      <c r="D268" s="6">
        <f>-PMT(Inputs!$C$6/12, Inputs!$D$6, Inputs!$B$6)</f>
        <v>830.33420905416028</v>
      </c>
      <c r="E268" s="3">
        <f>C268 * (Inputs!$C$6/12)</f>
        <v>205.24666064279711</v>
      </c>
      <c r="F268" s="6">
        <f t="shared" si="18"/>
        <v>625.08754841136317</v>
      </c>
      <c r="G268" s="6">
        <f t="shared" si="19"/>
        <v>26741.133870628251</v>
      </c>
      <c r="H268" s="7">
        <f t="shared" si="21"/>
        <v>830.33420905416028</v>
      </c>
    </row>
    <row r="269" spans="1:8" x14ac:dyDescent="0.35">
      <c r="A269" s="2" t="str">
        <f>Inputs!$A$6</f>
        <v>L5</v>
      </c>
      <c r="B269" s="3">
        <v>24</v>
      </c>
      <c r="C269" s="6">
        <f t="shared" si="20"/>
        <v>26741.133870628251</v>
      </c>
      <c r="D269" s="6">
        <f>-PMT(Inputs!$C$6/12, Inputs!$D$6, Inputs!$B$6)</f>
        <v>830.33420905416028</v>
      </c>
      <c r="E269" s="3">
        <f>C269 * (Inputs!$C$6/12)</f>
        <v>200.55850402971188</v>
      </c>
      <c r="F269" s="6">
        <f t="shared" si="18"/>
        <v>629.77570502444837</v>
      </c>
      <c r="G269" s="6">
        <f t="shared" si="19"/>
        <v>26111.358165603804</v>
      </c>
      <c r="H269" s="7">
        <f t="shared" si="21"/>
        <v>830.33420905416028</v>
      </c>
    </row>
    <row r="270" spans="1:8" x14ac:dyDescent="0.35">
      <c r="A270" s="2" t="str">
        <f>Inputs!$A$6</f>
        <v>L5</v>
      </c>
      <c r="B270" s="3">
        <v>25</v>
      </c>
      <c r="C270" s="6">
        <f t="shared" si="20"/>
        <v>26111.358165603804</v>
      </c>
      <c r="D270" s="6">
        <f>-PMT(Inputs!$C$6/12, Inputs!$D$6, Inputs!$B$6)</f>
        <v>830.33420905416028</v>
      </c>
      <c r="E270" s="3">
        <f>C270 * (Inputs!$C$6/12)</f>
        <v>195.83518624202853</v>
      </c>
      <c r="F270" s="6">
        <f t="shared" si="18"/>
        <v>634.49902281213178</v>
      </c>
      <c r="G270" s="6">
        <f t="shared" si="19"/>
        <v>25476.859142791673</v>
      </c>
      <c r="H270" s="7">
        <f t="shared" si="21"/>
        <v>830.33420905416028</v>
      </c>
    </row>
    <row r="271" spans="1:8" x14ac:dyDescent="0.35">
      <c r="A271" s="2" t="str">
        <f>Inputs!$A$6</f>
        <v>L5</v>
      </c>
      <c r="B271" s="3">
        <v>26</v>
      </c>
      <c r="C271" s="6">
        <f t="shared" si="20"/>
        <v>25476.859142791673</v>
      </c>
      <c r="D271" s="6">
        <f>-PMT(Inputs!$C$6/12, Inputs!$D$6, Inputs!$B$6)</f>
        <v>830.33420905416028</v>
      </c>
      <c r="E271" s="3">
        <f>C271 * (Inputs!$C$6/12)</f>
        <v>191.07644357093753</v>
      </c>
      <c r="F271" s="6">
        <f t="shared" si="18"/>
        <v>639.25776548322278</v>
      </c>
      <c r="G271" s="6">
        <f t="shared" si="19"/>
        <v>24837.601377308449</v>
      </c>
      <c r="H271" s="7">
        <f t="shared" si="21"/>
        <v>830.33420905416028</v>
      </c>
    </row>
    <row r="272" spans="1:8" x14ac:dyDescent="0.35">
      <c r="A272" s="2" t="str">
        <f>Inputs!$A$6</f>
        <v>L5</v>
      </c>
      <c r="B272" s="3">
        <v>27</v>
      </c>
      <c r="C272" s="6">
        <f t="shared" si="20"/>
        <v>24837.601377308449</v>
      </c>
      <c r="D272" s="6">
        <f>-PMT(Inputs!$C$6/12, Inputs!$D$6, Inputs!$B$6)</f>
        <v>830.33420905416028</v>
      </c>
      <c r="E272" s="3">
        <f>C272 * (Inputs!$C$6/12)</f>
        <v>186.28201032981335</v>
      </c>
      <c r="F272" s="6">
        <f t="shared" si="18"/>
        <v>644.05219872434691</v>
      </c>
      <c r="G272" s="6">
        <f t="shared" si="19"/>
        <v>24193.5491785841</v>
      </c>
      <c r="H272" s="7">
        <f t="shared" si="21"/>
        <v>830.33420905416028</v>
      </c>
    </row>
    <row r="273" spans="1:8" x14ac:dyDescent="0.35">
      <c r="A273" s="2" t="str">
        <f>Inputs!$A$6</f>
        <v>L5</v>
      </c>
      <c r="B273" s="3">
        <v>28</v>
      </c>
      <c r="C273" s="6">
        <f t="shared" si="20"/>
        <v>24193.5491785841</v>
      </c>
      <c r="D273" s="6">
        <f>-PMT(Inputs!$C$6/12, Inputs!$D$6, Inputs!$B$6)</f>
        <v>830.33420905416028</v>
      </c>
      <c r="E273" s="3">
        <f>C273 * (Inputs!$C$6/12)</f>
        <v>181.45161883938076</v>
      </c>
      <c r="F273" s="6">
        <f t="shared" si="18"/>
        <v>648.8825902147795</v>
      </c>
      <c r="G273" s="6">
        <f t="shared" si="19"/>
        <v>23544.66658836932</v>
      </c>
      <c r="H273" s="7">
        <f t="shared" si="21"/>
        <v>830.33420905416028</v>
      </c>
    </row>
    <row r="274" spans="1:8" x14ac:dyDescent="0.35">
      <c r="A274" s="2" t="str">
        <f>Inputs!$A$6</f>
        <v>L5</v>
      </c>
      <c r="B274" s="3">
        <v>29</v>
      </c>
      <c r="C274" s="6">
        <f t="shared" si="20"/>
        <v>23544.66658836932</v>
      </c>
      <c r="D274" s="6">
        <f>-PMT(Inputs!$C$6/12, Inputs!$D$6, Inputs!$B$6)</f>
        <v>830.33420905416028</v>
      </c>
      <c r="E274" s="3">
        <f>C274 * (Inputs!$C$6/12)</f>
        <v>176.58499941276989</v>
      </c>
      <c r="F274" s="6">
        <f t="shared" si="18"/>
        <v>653.74920964139039</v>
      </c>
      <c r="G274" s="6">
        <f t="shared" si="19"/>
        <v>22890.917378727929</v>
      </c>
      <c r="H274" s="7">
        <f t="shared" si="21"/>
        <v>830.33420905416028</v>
      </c>
    </row>
    <row r="275" spans="1:8" x14ac:dyDescent="0.35">
      <c r="A275" s="2" t="str">
        <f>Inputs!$A$6</f>
        <v>L5</v>
      </c>
      <c r="B275" s="3">
        <v>30</v>
      </c>
      <c r="C275" s="6">
        <f t="shared" si="20"/>
        <v>22890.917378727929</v>
      </c>
      <c r="D275" s="6">
        <f>-PMT(Inputs!$C$6/12, Inputs!$D$6, Inputs!$B$6)</f>
        <v>830.33420905416028</v>
      </c>
      <c r="E275" s="3">
        <f>C275 * (Inputs!$C$6/12)</f>
        <v>171.68188034045946</v>
      </c>
      <c r="F275" s="6">
        <f t="shared" si="18"/>
        <v>658.65232871370085</v>
      </c>
      <c r="G275" s="6">
        <f t="shared" si="19"/>
        <v>22232.265050014226</v>
      </c>
      <c r="H275" s="7">
        <f t="shared" si="21"/>
        <v>830.33420905416028</v>
      </c>
    </row>
    <row r="276" spans="1:8" x14ac:dyDescent="0.35">
      <c r="A276" s="2" t="str">
        <f>Inputs!$A$6</f>
        <v>L5</v>
      </c>
      <c r="B276" s="3">
        <v>31</v>
      </c>
      <c r="C276" s="6">
        <f t="shared" si="20"/>
        <v>22232.265050014226</v>
      </c>
      <c r="D276" s="6">
        <f>-PMT(Inputs!$C$6/12, Inputs!$D$6, Inputs!$B$6)</f>
        <v>830.33420905416028</v>
      </c>
      <c r="E276" s="3">
        <f>C276 * (Inputs!$C$6/12)</f>
        <v>166.7419878751067</v>
      </c>
      <c r="F276" s="6">
        <f t="shared" si="18"/>
        <v>663.59222117905358</v>
      </c>
      <c r="G276" s="6">
        <f t="shared" si="19"/>
        <v>21568.672828835173</v>
      </c>
      <c r="H276" s="7">
        <f t="shared" si="21"/>
        <v>830.33420905416028</v>
      </c>
    </row>
    <row r="277" spans="1:8" x14ac:dyDescent="0.35">
      <c r="A277" s="2" t="str">
        <f>Inputs!$A$6</f>
        <v>L5</v>
      </c>
      <c r="B277" s="3">
        <v>32</v>
      </c>
      <c r="C277" s="6">
        <f t="shared" si="20"/>
        <v>21568.672828835173</v>
      </c>
      <c r="D277" s="6">
        <f>-PMT(Inputs!$C$6/12, Inputs!$D$6, Inputs!$B$6)</f>
        <v>830.33420905416028</v>
      </c>
      <c r="E277" s="3">
        <f>C277 * (Inputs!$C$6/12)</f>
        <v>161.76504621626378</v>
      </c>
      <c r="F277" s="6">
        <f t="shared" si="18"/>
        <v>668.56916283789656</v>
      </c>
      <c r="G277" s="6">
        <f t="shared" si="19"/>
        <v>20900.103665997278</v>
      </c>
      <c r="H277" s="7">
        <f t="shared" si="21"/>
        <v>830.33420905416028</v>
      </c>
    </row>
    <row r="278" spans="1:8" x14ac:dyDescent="0.35">
      <c r="A278" s="2" t="str">
        <f>Inputs!$A$6</f>
        <v>L5</v>
      </c>
      <c r="B278" s="3">
        <v>33</v>
      </c>
      <c r="C278" s="6">
        <f t="shared" si="20"/>
        <v>20900.103665997278</v>
      </c>
      <c r="D278" s="6">
        <f>-PMT(Inputs!$C$6/12, Inputs!$D$6, Inputs!$B$6)</f>
        <v>830.33420905416028</v>
      </c>
      <c r="E278" s="3">
        <f>C278 * (Inputs!$C$6/12)</f>
        <v>156.75077749497959</v>
      </c>
      <c r="F278" s="6">
        <f t="shared" si="18"/>
        <v>673.58343155918067</v>
      </c>
      <c r="G278" s="6">
        <f t="shared" si="19"/>
        <v>20226.520234438096</v>
      </c>
      <c r="H278" s="7">
        <f t="shared" si="21"/>
        <v>830.33420905416028</v>
      </c>
    </row>
    <row r="279" spans="1:8" x14ac:dyDescent="0.35">
      <c r="A279" s="2" t="str">
        <f>Inputs!$A$6</f>
        <v>L5</v>
      </c>
      <c r="B279" s="3">
        <v>34</v>
      </c>
      <c r="C279" s="6">
        <f t="shared" si="20"/>
        <v>20226.520234438096</v>
      </c>
      <c r="D279" s="6">
        <f>-PMT(Inputs!$C$6/12, Inputs!$D$6, Inputs!$B$6)</f>
        <v>830.33420905416028</v>
      </c>
      <c r="E279" s="3">
        <f>C279 * (Inputs!$C$6/12)</f>
        <v>151.6989017582857</v>
      </c>
      <c r="F279" s="6">
        <f t="shared" si="18"/>
        <v>678.63530729587455</v>
      </c>
      <c r="G279" s="6">
        <f t="shared" si="19"/>
        <v>19547.884927142222</v>
      </c>
      <c r="H279" s="7">
        <f t="shared" si="21"/>
        <v>830.33420905416028</v>
      </c>
    </row>
    <row r="280" spans="1:8" x14ac:dyDescent="0.35">
      <c r="A280" s="2" t="str">
        <f>Inputs!$A$6</f>
        <v>L5</v>
      </c>
      <c r="B280" s="3">
        <v>35</v>
      </c>
      <c r="C280" s="6">
        <f t="shared" si="20"/>
        <v>19547.884927142222</v>
      </c>
      <c r="D280" s="6">
        <f>-PMT(Inputs!$C$6/12, Inputs!$D$6, Inputs!$B$6)</f>
        <v>830.33420905416028</v>
      </c>
      <c r="E280" s="3">
        <f>C280 * (Inputs!$C$6/12)</f>
        <v>146.60913695356666</v>
      </c>
      <c r="F280" s="6">
        <f t="shared" si="18"/>
        <v>683.72507210059359</v>
      </c>
      <c r="G280" s="6">
        <f t="shared" si="19"/>
        <v>18864.159855041627</v>
      </c>
      <c r="H280" s="7">
        <f t="shared" ref="H280:H304" si="22">D278</f>
        <v>830.33420905416028</v>
      </c>
    </row>
    <row r="281" spans="1:8" x14ac:dyDescent="0.35">
      <c r="A281" s="2" t="str">
        <f>Inputs!$A$6</f>
        <v>L5</v>
      </c>
      <c r="B281" s="3">
        <v>36</v>
      </c>
      <c r="C281" s="6">
        <f t="shared" si="20"/>
        <v>18864.159855041627</v>
      </c>
      <c r="D281" s="6">
        <f>-PMT(Inputs!$C$6/12, Inputs!$D$6, Inputs!$B$6)</f>
        <v>830.33420905416028</v>
      </c>
      <c r="E281" s="3">
        <f>C281 * (Inputs!$C$6/12)</f>
        <v>141.4811989128122</v>
      </c>
      <c r="F281" s="6">
        <f t="shared" si="18"/>
        <v>688.85301014134802</v>
      </c>
      <c r="G281" s="6">
        <f t="shared" si="19"/>
        <v>18175.306844900279</v>
      </c>
      <c r="H281" s="7">
        <f t="shared" si="22"/>
        <v>830.33420905416028</v>
      </c>
    </row>
    <row r="282" spans="1:8" x14ac:dyDescent="0.35">
      <c r="A282" s="2" t="str">
        <f>Inputs!$A$6</f>
        <v>L5</v>
      </c>
      <c r="B282" s="3">
        <v>37</v>
      </c>
      <c r="C282" s="6">
        <f t="shared" si="20"/>
        <v>18175.306844900279</v>
      </c>
      <c r="D282" s="6">
        <f>-PMT(Inputs!$C$6/12, Inputs!$D$6, Inputs!$B$6)</f>
        <v>830.33420905416028</v>
      </c>
      <c r="E282" s="3">
        <f>C282 * (Inputs!$C$6/12)</f>
        <v>136.31480133675208</v>
      </c>
      <c r="F282" s="6">
        <f t="shared" si="18"/>
        <v>694.01940771740817</v>
      </c>
      <c r="G282" s="6">
        <f t="shared" si="19"/>
        <v>17481.287437182869</v>
      </c>
      <c r="H282" s="7">
        <f t="shared" si="22"/>
        <v>830.33420905416028</v>
      </c>
    </row>
    <row r="283" spans="1:8" x14ac:dyDescent="0.35">
      <c r="A283" s="2" t="str">
        <f>Inputs!$A$6</f>
        <v>L5</v>
      </c>
      <c r="B283" s="3">
        <v>38</v>
      </c>
      <c r="C283" s="6">
        <f t="shared" si="20"/>
        <v>17481.287437182869</v>
      </c>
      <c r="D283" s="6">
        <f>-PMT(Inputs!$C$6/12, Inputs!$D$6, Inputs!$B$6)</f>
        <v>830.33420905416028</v>
      </c>
      <c r="E283" s="3">
        <f>C283 * (Inputs!$C$6/12)</f>
        <v>131.10965577887151</v>
      </c>
      <c r="F283" s="6">
        <f t="shared" si="18"/>
        <v>699.22455327528883</v>
      </c>
      <c r="G283" s="6">
        <f t="shared" si="19"/>
        <v>16782.06288390758</v>
      </c>
      <c r="H283" s="7">
        <f t="shared" si="22"/>
        <v>830.33420905416028</v>
      </c>
    </row>
    <row r="284" spans="1:8" x14ac:dyDescent="0.35">
      <c r="A284" s="2" t="str">
        <f>Inputs!$A$6</f>
        <v>L5</v>
      </c>
      <c r="B284" s="3">
        <v>39</v>
      </c>
      <c r="C284" s="6">
        <f t="shared" si="20"/>
        <v>16782.06288390758</v>
      </c>
      <c r="D284" s="6">
        <f>-PMT(Inputs!$C$6/12, Inputs!$D$6, Inputs!$B$6)</f>
        <v>830.33420905416028</v>
      </c>
      <c r="E284" s="3">
        <f>C284 * (Inputs!$C$6/12)</f>
        <v>125.86547162930684</v>
      </c>
      <c r="F284" s="6">
        <f t="shared" si="18"/>
        <v>704.46873742485343</v>
      </c>
      <c r="G284" s="6">
        <f t="shared" si="19"/>
        <v>16077.594146482727</v>
      </c>
      <c r="H284" s="7">
        <f t="shared" si="22"/>
        <v>830.33420905416028</v>
      </c>
    </row>
    <row r="285" spans="1:8" x14ac:dyDescent="0.35">
      <c r="A285" s="2" t="str">
        <f>Inputs!$A$6</f>
        <v>L5</v>
      </c>
      <c r="B285" s="3">
        <v>40</v>
      </c>
      <c r="C285" s="6">
        <f t="shared" si="20"/>
        <v>16077.594146482727</v>
      </c>
      <c r="D285" s="6">
        <f>-PMT(Inputs!$C$6/12, Inputs!$D$6, Inputs!$B$6)</f>
        <v>830.33420905416028</v>
      </c>
      <c r="E285" s="3">
        <f>C285 * (Inputs!$C$6/12)</f>
        <v>120.58195609862044</v>
      </c>
      <c r="F285" s="6">
        <f t="shared" si="18"/>
        <v>709.7522529555398</v>
      </c>
      <c r="G285" s="6">
        <f t="shared" si="19"/>
        <v>15367.841893527187</v>
      </c>
      <c r="H285" s="7">
        <f t="shared" si="22"/>
        <v>830.33420905416028</v>
      </c>
    </row>
    <row r="286" spans="1:8" x14ac:dyDescent="0.35">
      <c r="A286" s="2" t="str">
        <f>Inputs!$A$6</f>
        <v>L5</v>
      </c>
      <c r="B286" s="3">
        <v>41</v>
      </c>
      <c r="C286" s="6">
        <f t="shared" si="20"/>
        <v>15367.841893527187</v>
      </c>
      <c r="D286" s="6">
        <f>-PMT(Inputs!$C$6/12, Inputs!$D$6, Inputs!$B$6)</f>
        <v>830.33420905416028</v>
      </c>
      <c r="E286" s="3">
        <f>C286 * (Inputs!$C$6/12)</f>
        <v>115.2588142014539</v>
      </c>
      <c r="F286" s="6">
        <f t="shared" si="18"/>
        <v>715.07539485270638</v>
      </c>
      <c r="G286" s="6">
        <f t="shared" si="19"/>
        <v>14652.76649867448</v>
      </c>
      <c r="H286" s="7">
        <f t="shared" si="22"/>
        <v>830.33420905416028</v>
      </c>
    </row>
    <row r="287" spans="1:8" x14ac:dyDescent="0.35">
      <c r="A287" s="2" t="str">
        <f>Inputs!$A$6</f>
        <v>L5</v>
      </c>
      <c r="B287" s="3">
        <v>42</v>
      </c>
      <c r="C287" s="6">
        <f t="shared" si="20"/>
        <v>14652.76649867448</v>
      </c>
      <c r="D287" s="6">
        <f>-PMT(Inputs!$C$6/12, Inputs!$D$6, Inputs!$B$6)</f>
        <v>830.33420905416028</v>
      </c>
      <c r="E287" s="3">
        <f>C287 * (Inputs!$C$6/12)</f>
        <v>109.89574874005859</v>
      </c>
      <c r="F287" s="6">
        <f t="shared" si="18"/>
        <v>720.43846031410169</v>
      </c>
      <c r="G287" s="6">
        <f t="shared" si="19"/>
        <v>13932.328038360378</v>
      </c>
      <c r="H287" s="7">
        <f t="shared" si="22"/>
        <v>830.33420905416028</v>
      </c>
    </row>
    <row r="288" spans="1:8" x14ac:dyDescent="0.35">
      <c r="A288" s="2" t="str">
        <f>Inputs!$A$6</f>
        <v>L5</v>
      </c>
      <c r="B288" s="3">
        <v>43</v>
      </c>
      <c r="C288" s="6">
        <f t="shared" si="20"/>
        <v>13932.328038360378</v>
      </c>
      <c r="D288" s="6">
        <f>-PMT(Inputs!$C$6/12, Inputs!$D$6, Inputs!$B$6)</f>
        <v>830.33420905416028</v>
      </c>
      <c r="E288" s="3">
        <f>C288 * (Inputs!$C$6/12)</f>
        <v>104.49246028770283</v>
      </c>
      <c r="F288" s="6">
        <f t="shared" si="18"/>
        <v>725.8417487664575</v>
      </c>
      <c r="G288" s="6">
        <f t="shared" si="19"/>
        <v>13206.48628959392</v>
      </c>
      <c r="H288" s="7">
        <f t="shared" si="22"/>
        <v>830.33420905416028</v>
      </c>
    </row>
    <row r="289" spans="1:8" x14ac:dyDescent="0.35">
      <c r="A289" s="2" t="str">
        <f>Inputs!$A$6</f>
        <v>L5</v>
      </c>
      <c r="B289" s="3">
        <v>44</v>
      </c>
      <c r="C289" s="6">
        <f t="shared" si="20"/>
        <v>13206.48628959392</v>
      </c>
      <c r="D289" s="6">
        <f>-PMT(Inputs!$C$6/12, Inputs!$D$6, Inputs!$B$6)</f>
        <v>830.33420905416028</v>
      </c>
      <c r="E289" s="3">
        <f>C289 * (Inputs!$C$6/12)</f>
        <v>99.0486471719544</v>
      </c>
      <c r="F289" s="6">
        <f t="shared" si="18"/>
        <v>731.28556188220591</v>
      </c>
      <c r="G289" s="6">
        <f t="shared" si="19"/>
        <v>12475.200727711715</v>
      </c>
      <c r="H289" s="7">
        <f t="shared" si="22"/>
        <v>830.33420905416028</v>
      </c>
    </row>
    <row r="290" spans="1:8" x14ac:dyDescent="0.35">
      <c r="A290" s="2" t="str">
        <f>Inputs!$A$6</f>
        <v>L5</v>
      </c>
      <c r="B290" s="3">
        <v>45</v>
      </c>
      <c r="C290" s="6">
        <f t="shared" si="20"/>
        <v>12475.200727711715</v>
      </c>
      <c r="D290" s="6">
        <f>-PMT(Inputs!$C$6/12, Inputs!$D$6, Inputs!$B$6)</f>
        <v>830.33420905416028</v>
      </c>
      <c r="E290" s="3">
        <f>C290 * (Inputs!$C$6/12)</f>
        <v>93.564005457837865</v>
      </c>
      <c r="F290" s="6">
        <f t="shared" si="18"/>
        <v>736.7702035963224</v>
      </c>
      <c r="G290" s="6">
        <f t="shared" si="19"/>
        <v>11738.430524115392</v>
      </c>
      <c r="H290" s="7">
        <f t="shared" si="22"/>
        <v>830.33420905416028</v>
      </c>
    </row>
    <row r="291" spans="1:8" x14ac:dyDescent="0.35">
      <c r="A291" s="2" t="str">
        <f>Inputs!$A$6</f>
        <v>L5</v>
      </c>
      <c r="B291" s="3">
        <v>46</v>
      </c>
      <c r="C291" s="6">
        <f t="shared" si="20"/>
        <v>11738.430524115392</v>
      </c>
      <c r="D291" s="6">
        <f>-PMT(Inputs!$C$6/12, Inputs!$D$6, Inputs!$B$6)</f>
        <v>830.33420905416028</v>
      </c>
      <c r="E291" s="3">
        <f>C291 * (Inputs!$C$6/12)</f>
        <v>88.038228930865444</v>
      </c>
      <c r="F291" s="6">
        <f t="shared" si="18"/>
        <v>742.29598012329484</v>
      </c>
      <c r="G291" s="6">
        <f t="shared" si="19"/>
        <v>10996.134543992097</v>
      </c>
      <c r="H291" s="7">
        <f t="shared" si="22"/>
        <v>830.33420905416028</v>
      </c>
    </row>
    <row r="292" spans="1:8" x14ac:dyDescent="0.35">
      <c r="A292" s="2" t="str">
        <f>Inputs!$A$6</f>
        <v>L5</v>
      </c>
      <c r="B292" s="3">
        <v>47</v>
      </c>
      <c r="C292" s="6">
        <f t="shared" si="20"/>
        <v>10996.134543992097</v>
      </c>
      <c r="D292" s="6">
        <f>-PMT(Inputs!$C$6/12, Inputs!$D$6, Inputs!$B$6)</f>
        <v>830.33420905416028</v>
      </c>
      <c r="E292" s="3">
        <f>C292 * (Inputs!$C$6/12)</f>
        <v>82.471009079940728</v>
      </c>
      <c r="F292" s="6">
        <f t="shared" si="18"/>
        <v>747.86319997421958</v>
      </c>
      <c r="G292" s="6">
        <f t="shared" si="19"/>
        <v>10248.271344017878</v>
      </c>
      <c r="H292" s="7">
        <f t="shared" si="22"/>
        <v>830.33420905416028</v>
      </c>
    </row>
    <row r="293" spans="1:8" x14ac:dyDescent="0.35">
      <c r="A293" s="2" t="str">
        <f>Inputs!$A$6</f>
        <v>L5</v>
      </c>
      <c r="B293" s="3">
        <v>48</v>
      </c>
      <c r="C293" s="6">
        <f t="shared" si="20"/>
        <v>10248.271344017878</v>
      </c>
      <c r="D293" s="6">
        <f>-PMT(Inputs!$C$6/12, Inputs!$D$6, Inputs!$B$6)</f>
        <v>830.33420905416028</v>
      </c>
      <c r="E293" s="3">
        <f>C293 * (Inputs!$C$6/12)</f>
        <v>76.862035080134078</v>
      </c>
      <c r="F293" s="6">
        <f t="shared" si="18"/>
        <v>753.47217397402619</v>
      </c>
      <c r="G293" s="6">
        <f t="shared" si="19"/>
        <v>9494.7991700438506</v>
      </c>
      <c r="H293" s="7">
        <f t="shared" si="22"/>
        <v>830.33420905416028</v>
      </c>
    </row>
    <row r="294" spans="1:8" x14ac:dyDescent="0.35">
      <c r="A294" s="2" t="str">
        <f>Inputs!$A$6</f>
        <v>L5</v>
      </c>
      <c r="B294" s="3">
        <v>49</v>
      </c>
      <c r="C294" s="6">
        <f t="shared" si="20"/>
        <v>9494.7991700438506</v>
      </c>
      <c r="D294" s="6">
        <f>-PMT(Inputs!$C$6/12, Inputs!$D$6, Inputs!$B$6)</f>
        <v>830.33420905416028</v>
      </c>
      <c r="E294" s="3">
        <f>C294 * (Inputs!$C$6/12)</f>
        <v>71.210993775328873</v>
      </c>
      <c r="F294" s="6">
        <f t="shared" si="18"/>
        <v>759.12321527883137</v>
      </c>
      <c r="G294" s="6">
        <f t="shared" si="19"/>
        <v>8735.6759547650199</v>
      </c>
      <c r="H294" s="7">
        <f t="shared" si="22"/>
        <v>830.33420905416028</v>
      </c>
    </row>
    <row r="295" spans="1:8" x14ac:dyDescent="0.35">
      <c r="A295" s="2" t="str">
        <f>Inputs!$A$6</f>
        <v>L5</v>
      </c>
      <c r="B295" s="3">
        <v>50</v>
      </c>
      <c r="C295" s="6">
        <f t="shared" si="20"/>
        <v>8735.6759547650199</v>
      </c>
      <c r="D295" s="6">
        <f>-PMT(Inputs!$C$6/12, Inputs!$D$6, Inputs!$B$6)</f>
        <v>830.33420905416028</v>
      </c>
      <c r="E295" s="3">
        <f>C295 * (Inputs!$C$6/12)</f>
        <v>65.517569660737649</v>
      </c>
      <c r="F295" s="6">
        <f t="shared" si="18"/>
        <v>764.81663939342263</v>
      </c>
      <c r="G295" s="6">
        <f t="shared" si="19"/>
        <v>7970.8593153715974</v>
      </c>
      <c r="H295" s="7">
        <f t="shared" si="22"/>
        <v>830.33420905416028</v>
      </c>
    </row>
    <row r="296" spans="1:8" x14ac:dyDescent="0.35">
      <c r="A296" s="2" t="str">
        <f>Inputs!$A$6</f>
        <v>L5</v>
      </c>
      <c r="B296" s="3">
        <v>51</v>
      </c>
      <c r="C296" s="6">
        <f t="shared" si="20"/>
        <v>7970.8593153715974</v>
      </c>
      <c r="D296" s="6">
        <f>-PMT(Inputs!$C$6/12, Inputs!$D$6, Inputs!$B$6)</f>
        <v>830.33420905416028</v>
      </c>
      <c r="E296" s="3">
        <f>C296 * (Inputs!$C$6/12)</f>
        <v>59.781444865286979</v>
      </c>
      <c r="F296" s="6">
        <f t="shared" si="18"/>
        <v>770.55276418887331</v>
      </c>
      <c r="G296" s="6">
        <f t="shared" si="19"/>
        <v>7200.3065511827244</v>
      </c>
      <c r="H296" s="7">
        <f t="shared" si="22"/>
        <v>830.33420905416028</v>
      </c>
    </row>
    <row r="297" spans="1:8" x14ac:dyDescent="0.35">
      <c r="A297" s="2" t="str">
        <f>Inputs!$A$6</f>
        <v>L5</v>
      </c>
      <c r="B297" s="3">
        <v>52</v>
      </c>
      <c r="C297" s="6">
        <f t="shared" si="20"/>
        <v>7200.3065511827244</v>
      </c>
      <c r="D297" s="6">
        <f>-PMT(Inputs!$C$6/12, Inputs!$D$6, Inputs!$B$6)</f>
        <v>830.33420905416028</v>
      </c>
      <c r="E297" s="3">
        <f>C297 * (Inputs!$C$6/12)</f>
        <v>54.00229913387043</v>
      </c>
      <c r="F297" s="6">
        <f t="shared" si="18"/>
        <v>776.33190992028983</v>
      </c>
      <c r="G297" s="6">
        <f t="shared" si="19"/>
        <v>6423.9746412624345</v>
      </c>
      <c r="H297" s="7">
        <f t="shared" si="22"/>
        <v>830.33420905416028</v>
      </c>
    </row>
    <row r="298" spans="1:8" x14ac:dyDescent="0.35">
      <c r="A298" s="2" t="str">
        <f>Inputs!$A$6</f>
        <v>L5</v>
      </c>
      <c r="B298" s="3">
        <v>53</v>
      </c>
      <c r="C298" s="6">
        <f t="shared" si="20"/>
        <v>6423.9746412624345</v>
      </c>
      <c r="D298" s="6">
        <f>-PMT(Inputs!$C$6/12, Inputs!$D$6, Inputs!$B$6)</f>
        <v>830.33420905416028</v>
      </c>
      <c r="E298" s="3">
        <f>C298 * (Inputs!$C$6/12)</f>
        <v>48.17980980946826</v>
      </c>
      <c r="F298" s="6">
        <f t="shared" si="18"/>
        <v>782.15439924469206</v>
      </c>
      <c r="G298" s="6">
        <f t="shared" si="19"/>
        <v>5641.8202420177422</v>
      </c>
      <c r="H298" s="7">
        <f t="shared" si="22"/>
        <v>830.33420905416028</v>
      </c>
    </row>
    <row r="299" spans="1:8" x14ac:dyDescent="0.35">
      <c r="A299" s="2" t="str">
        <f>Inputs!$A$6</f>
        <v>L5</v>
      </c>
      <c r="B299" s="3">
        <v>54</v>
      </c>
      <c r="C299" s="6">
        <f t="shared" si="20"/>
        <v>5641.8202420177422</v>
      </c>
      <c r="D299" s="6">
        <f>-PMT(Inputs!$C$6/12, Inputs!$D$6, Inputs!$B$6)</f>
        <v>830.33420905416028</v>
      </c>
      <c r="E299" s="3">
        <f>C299 * (Inputs!$C$6/12)</f>
        <v>42.313651815133063</v>
      </c>
      <c r="F299" s="6">
        <f t="shared" si="18"/>
        <v>788.0205572390272</v>
      </c>
      <c r="G299" s="6">
        <f t="shared" si="19"/>
        <v>4853.7996847787153</v>
      </c>
      <c r="H299" s="7">
        <f t="shared" si="22"/>
        <v>830.33420905416028</v>
      </c>
    </row>
    <row r="300" spans="1:8" x14ac:dyDescent="0.35">
      <c r="A300" s="2" t="str">
        <f>Inputs!$A$6</f>
        <v>L5</v>
      </c>
      <c r="B300" s="3">
        <v>55</v>
      </c>
      <c r="C300" s="6">
        <f t="shared" si="20"/>
        <v>4853.7996847787153</v>
      </c>
      <c r="D300" s="6">
        <f>-PMT(Inputs!$C$6/12, Inputs!$D$6, Inputs!$B$6)</f>
        <v>830.33420905416028</v>
      </c>
      <c r="E300" s="3">
        <f>C300 * (Inputs!$C$6/12)</f>
        <v>36.403497635840367</v>
      </c>
      <c r="F300" s="6">
        <f t="shared" si="18"/>
        <v>793.9307114183199</v>
      </c>
      <c r="G300" s="6">
        <f t="shared" si="19"/>
        <v>4059.8689733603956</v>
      </c>
      <c r="H300" s="7">
        <f t="shared" si="22"/>
        <v>830.33420905416028</v>
      </c>
    </row>
    <row r="301" spans="1:8" x14ac:dyDescent="0.35">
      <c r="A301" s="2" t="str">
        <f>Inputs!$A$6</f>
        <v>L5</v>
      </c>
      <c r="B301" s="3">
        <v>56</v>
      </c>
      <c r="C301" s="6">
        <f t="shared" si="20"/>
        <v>4059.8689733603956</v>
      </c>
      <c r="D301" s="6">
        <f>-PMT(Inputs!$C$6/12, Inputs!$D$6, Inputs!$B$6)</f>
        <v>830.33420905416028</v>
      </c>
      <c r="E301" s="3">
        <f>C301 * (Inputs!$C$6/12)</f>
        <v>30.449017300202964</v>
      </c>
      <c r="F301" s="6">
        <f t="shared" si="18"/>
        <v>799.88519175395732</v>
      </c>
      <c r="G301" s="6">
        <f t="shared" si="19"/>
        <v>3259.9837816064382</v>
      </c>
      <c r="H301" s="7">
        <f t="shared" si="22"/>
        <v>830.33420905416028</v>
      </c>
    </row>
    <row r="302" spans="1:8" x14ac:dyDescent="0.35">
      <c r="A302" s="2" t="str">
        <f>Inputs!$A$6</f>
        <v>L5</v>
      </c>
      <c r="B302" s="3">
        <v>57</v>
      </c>
      <c r="C302" s="6">
        <f t="shared" si="20"/>
        <v>3259.9837816064382</v>
      </c>
      <c r="D302" s="6">
        <f>-PMT(Inputs!$C$6/12, Inputs!$D$6, Inputs!$B$6)</f>
        <v>830.33420905416028</v>
      </c>
      <c r="E302" s="3">
        <f>C302 * (Inputs!$C$6/12)</f>
        <v>24.449878362048285</v>
      </c>
      <c r="F302" s="6">
        <f t="shared" si="18"/>
        <v>805.88433069211203</v>
      </c>
      <c r="G302" s="6">
        <f t="shared" si="19"/>
        <v>2454.0994509143261</v>
      </c>
      <c r="H302" s="7">
        <f t="shared" si="22"/>
        <v>830.33420905416028</v>
      </c>
    </row>
    <row r="303" spans="1:8" x14ac:dyDescent="0.35">
      <c r="A303" s="2" t="str">
        <f>Inputs!$A$6</f>
        <v>L5</v>
      </c>
      <c r="B303" s="3">
        <v>58</v>
      </c>
      <c r="C303" s="6">
        <f t="shared" si="20"/>
        <v>2454.0994509143261</v>
      </c>
      <c r="D303" s="6">
        <f>-PMT(Inputs!$C$6/12, Inputs!$D$6, Inputs!$B$6)</f>
        <v>830.33420905416028</v>
      </c>
      <c r="E303" s="3">
        <f>C303 * (Inputs!$C$6/12)</f>
        <v>18.405745881857445</v>
      </c>
      <c r="F303" s="6">
        <f t="shared" si="18"/>
        <v>811.92846317230283</v>
      </c>
      <c r="G303" s="6">
        <f t="shared" si="19"/>
        <v>1642.1709877420233</v>
      </c>
      <c r="H303" s="7">
        <f t="shared" si="22"/>
        <v>830.33420905416028</v>
      </c>
    </row>
    <row r="304" spans="1:8" x14ac:dyDescent="0.35">
      <c r="A304" s="2" t="str">
        <f>Inputs!$A$6</f>
        <v>L5</v>
      </c>
      <c r="B304" s="3">
        <v>59</v>
      </c>
      <c r="C304" s="6">
        <f t="shared" si="20"/>
        <v>1642.1709877420233</v>
      </c>
      <c r="D304" s="6">
        <f>-PMT(Inputs!$C$6/12, Inputs!$D$6, Inputs!$B$6)</f>
        <v>830.33420905416028</v>
      </c>
      <c r="E304" s="3">
        <f>C304 * (Inputs!$C$6/12)</f>
        <v>12.316282408065174</v>
      </c>
      <c r="F304" s="6">
        <f t="shared" si="18"/>
        <v>818.01792664609513</v>
      </c>
      <c r="G304" s="6">
        <f t="shared" si="19"/>
        <v>824.15306109592814</v>
      </c>
      <c r="H304" s="7">
        <f t="shared" si="22"/>
        <v>830.33420905416028</v>
      </c>
    </row>
    <row r="305" spans="1:8" x14ac:dyDescent="0.35">
      <c r="A305" s="2" t="str">
        <f>Inputs!$A$6</f>
        <v>L5</v>
      </c>
      <c r="B305" s="4">
        <v>60</v>
      </c>
      <c r="C305" s="6">
        <f t="shared" si="20"/>
        <v>824.15306109592814</v>
      </c>
      <c r="D305" s="6">
        <f>-PMT(Inputs!$C$6/12, Inputs!$D$6, Inputs!$B$6)</f>
        <v>830.33420905416028</v>
      </c>
      <c r="E305" s="3">
        <f>C305 * (Inputs!$C$6/12)</f>
        <v>6.1811479582194604</v>
      </c>
      <c r="F305" s="6">
        <f t="shared" si="18"/>
        <v>824.15306109594087</v>
      </c>
      <c r="G305" s="6">
        <f>C305 - F305</f>
        <v>-1.2732925824820995E-11</v>
      </c>
      <c r="H305" s="8">
        <f>D305</f>
        <v>830.33420905416028</v>
      </c>
    </row>
    <row r="307" spans="1:8" x14ac:dyDescent="0.35">
      <c r="A307" s="2" t="str">
        <f>Inputs!$A$7</f>
        <v>L6</v>
      </c>
      <c r="B307" s="3">
        <v>1</v>
      </c>
      <c r="C307" s="3">
        <f>Inputs!$B$7</f>
        <v>18000</v>
      </c>
      <c r="D307" s="6">
        <f>-PMT(Inputs!$C$7/12, Inputs!$D$7, Inputs!$B$7)</f>
        <v>354.72553597608595</v>
      </c>
      <c r="E307" s="3">
        <f>C307 * (Inputs!$C$7/12)</f>
        <v>102.00000000000001</v>
      </c>
      <c r="F307" s="6">
        <f>D307 - E307</f>
        <v>252.72553597608595</v>
      </c>
      <c r="G307" s="6">
        <f>C307 - F307</f>
        <v>17747.274464023914</v>
      </c>
      <c r="H307" s="7">
        <f>D307</f>
        <v>354.72553597608595</v>
      </c>
    </row>
    <row r="308" spans="1:8" x14ac:dyDescent="0.35">
      <c r="A308" s="2" t="str">
        <f>Inputs!$A$7</f>
        <v>L6</v>
      </c>
      <c r="B308" s="3">
        <v>2</v>
      </c>
      <c r="C308" s="6">
        <f>G307</f>
        <v>17747.274464023914</v>
      </c>
      <c r="D308" s="6">
        <f>-PMT(Inputs!$C$7/12, Inputs!$D$7, Inputs!$B$7)</f>
        <v>354.72553597608595</v>
      </c>
      <c r="E308" s="3">
        <f>C308 * (Inputs!$C$7/12)</f>
        <v>100.56788862946885</v>
      </c>
      <c r="F308" s="6">
        <f t="shared" ref="F308:F366" si="23">D308 - E308</f>
        <v>254.1576473466171</v>
      </c>
      <c r="G308" s="6">
        <f t="shared" ref="G308:G365" si="24">C308 - F308</f>
        <v>17493.116816677299</v>
      </c>
      <c r="H308" s="7">
        <f>D308</f>
        <v>354.72553597608595</v>
      </c>
    </row>
    <row r="309" spans="1:8" x14ac:dyDescent="0.35">
      <c r="A309" s="2" t="str">
        <f>Inputs!$A$7</f>
        <v>L6</v>
      </c>
      <c r="B309" s="3">
        <v>3</v>
      </c>
      <c r="C309" s="6">
        <f t="shared" ref="C309:C366" si="25">G308</f>
        <v>17493.116816677299</v>
      </c>
      <c r="D309" s="6">
        <f>-PMT(Inputs!$C$7/12, Inputs!$D$7, Inputs!$B$7)</f>
        <v>354.72553597608595</v>
      </c>
      <c r="E309" s="3">
        <f>C309 * (Inputs!$C$7/12)</f>
        <v>99.12766196117137</v>
      </c>
      <c r="F309" s="6">
        <f t="shared" si="23"/>
        <v>255.59787401491457</v>
      </c>
      <c r="G309" s="6">
        <f t="shared" si="24"/>
        <v>17237.518942662384</v>
      </c>
      <c r="H309" s="7">
        <f t="shared" ref="H309:H340" si="26">D307</f>
        <v>354.72553597608595</v>
      </c>
    </row>
    <row r="310" spans="1:8" x14ac:dyDescent="0.35">
      <c r="A310" s="2" t="str">
        <f>Inputs!$A$7</f>
        <v>L6</v>
      </c>
      <c r="B310" s="3">
        <v>4</v>
      </c>
      <c r="C310" s="6">
        <f t="shared" si="25"/>
        <v>17237.518942662384</v>
      </c>
      <c r="D310" s="6">
        <f>-PMT(Inputs!$C$7/12, Inputs!$D$7, Inputs!$B$7)</f>
        <v>354.72553597608595</v>
      </c>
      <c r="E310" s="3">
        <f>C310 * (Inputs!$C$7/12)</f>
        <v>97.67927400842018</v>
      </c>
      <c r="F310" s="6">
        <f t="shared" si="23"/>
        <v>257.04626196766577</v>
      </c>
      <c r="G310" s="6">
        <f t="shared" si="24"/>
        <v>16980.472680694718</v>
      </c>
      <c r="H310" s="7">
        <f t="shared" si="26"/>
        <v>354.72553597608595</v>
      </c>
    </row>
    <row r="311" spans="1:8" x14ac:dyDescent="0.35">
      <c r="A311" s="2" t="str">
        <f>Inputs!$A$7</f>
        <v>L6</v>
      </c>
      <c r="B311" s="3">
        <v>5</v>
      </c>
      <c r="C311" s="6">
        <f t="shared" si="25"/>
        <v>16980.472680694718</v>
      </c>
      <c r="D311" s="6">
        <f>-PMT(Inputs!$C$7/12, Inputs!$D$7, Inputs!$B$7)</f>
        <v>354.72553597608595</v>
      </c>
      <c r="E311" s="3">
        <f>C311 * (Inputs!$C$7/12)</f>
        <v>96.22267852393675</v>
      </c>
      <c r="F311" s="6">
        <f t="shared" si="23"/>
        <v>258.50285745214921</v>
      </c>
      <c r="G311" s="6">
        <f t="shared" si="24"/>
        <v>16721.969823242569</v>
      </c>
      <c r="H311" s="7">
        <f t="shared" si="26"/>
        <v>354.72553597608595</v>
      </c>
    </row>
    <row r="312" spans="1:8" x14ac:dyDescent="0.35">
      <c r="A312" s="2" t="str">
        <f>Inputs!$A$7</f>
        <v>L6</v>
      </c>
      <c r="B312" s="3">
        <v>6</v>
      </c>
      <c r="C312" s="6">
        <f t="shared" si="25"/>
        <v>16721.969823242569</v>
      </c>
      <c r="D312" s="6">
        <f>-PMT(Inputs!$C$7/12, Inputs!$D$7, Inputs!$B$7)</f>
        <v>354.72553597608595</v>
      </c>
      <c r="E312" s="3">
        <f>C312 * (Inputs!$C$7/12)</f>
        <v>94.757828998374563</v>
      </c>
      <c r="F312" s="6">
        <f t="shared" si="23"/>
        <v>259.96770697771137</v>
      </c>
      <c r="G312" s="6">
        <f t="shared" si="24"/>
        <v>16462.002116264859</v>
      </c>
      <c r="H312" s="7">
        <f t="shared" si="26"/>
        <v>354.72553597608595</v>
      </c>
    </row>
    <row r="313" spans="1:8" x14ac:dyDescent="0.35">
      <c r="A313" s="2" t="str">
        <f>Inputs!$A$7</f>
        <v>L6</v>
      </c>
      <c r="B313" s="3">
        <v>7</v>
      </c>
      <c r="C313" s="6">
        <f t="shared" si="25"/>
        <v>16462.002116264859</v>
      </c>
      <c r="D313" s="6">
        <f>-PMT(Inputs!$C$7/12, Inputs!$D$7, Inputs!$B$7)</f>
        <v>354.72553597608595</v>
      </c>
      <c r="E313" s="3">
        <f>C313 * (Inputs!$C$7/12)</f>
        <v>93.28467865883421</v>
      </c>
      <c r="F313" s="6">
        <f t="shared" si="23"/>
        <v>261.44085731725175</v>
      </c>
      <c r="G313" s="6">
        <f t="shared" si="24"/>
        <v>16200.561258947608</v>
      </c>
      <c r="H313" s="7">
        <f t="shared" si="26"/>
        <v>354.72553597608595</v>
      </c>
    </row>
    <row r="314" spans="1:8" x14ac:dyDescent="0.35">
      <c r="A314" s="2" t="str">
        <f>Inputs!$A$7</f>
        <v>L6</v>
      </c>
      <c r="B314" s="3">
        <v>8</v>
      </c>
      <c r="C314" s="6">
        <f t="shared" si="25"/>
        <v>16200.561258947608</v>
      </c>
      <c r="D314" s="6">
        <f>-PMT(Inputs!$C$7/12, Inputs!$D$7, Inputs!$B$7)</f>
        <v>354.72553597608595</v>
      </c>
      <c r="E314" s="3">
        <f>C314 * (Inputs!$C$7/12)</f>
        <v>91.803180467369785</v>
      </c>
      <c r="F314" s="6">
        <f t="shared" si="23"/>
        <v>262.92235550871618</v>
      </c>
      <c r="G314" s="6">
        <f t="shared" si="24"/>
        <v>15937.638903438892</v>
      </c>
      <c r="H314" s="7">
        <f t="shared" si="26"/>
        <v>354.72553597608595</v>
      </c>
    </row>
    <row r="315" spans="1:8" x14ac:dyDescent="0.35">
      <c r="A315" s="2" t="str">
        <f>Inputs!$A$7</f>
        <v>L6</v>
      </c>
      <c r="B315" s="3">
        <v>9</v>
      </c>
      <c r="C315" s="6">
        <f t="shared" si="25"/>
        <v>15937.638903438892</v>
      </c>
      <c r="D315" s="6">
        <f>-PMT(Inputs!$C$7/12, Inputs!$D$7, Inputs!$B$7)</f>
        <v>354.72553597608595</v>
      </c>
      <c r="E315" s="3">
        <f>C315 * (Inputs!$C$7/12)</f>
        <v>90.313287119487057</v>
      </c>
      <c r="F315" s="6">
        <f t="shared" si="23"/>
        <v>264.41224885659892</v>
      </c>
      <c r="G315" s="6">
        <f t="shared" si="24"/>
        <v>15673.226654582293</v>
      </c>
      <c r="H315" s="7">
        <f t="shared" si="26"/>
        <v>354.72553597608595</v>
      </c>
    </row>
    <row r="316" spans="1:8" x14ac:dyDescent="0.35">
      <c r="A316" s="2" t="str">
        <f>Inputs!$A$7</f>
        <v>L6</v>
      </c>
      <c r="B316" s="3">
        <v>10</v>
      </c>
      <c r="C316" s="6">
        <f t="shared" si="25"/>
        <v>15673.226654582293</v>
      </c>
      <c r="D316" s="6">
        <f>-PMT(Inputs!$C$7/12, Inputs!$D$7, Inputs!$B$7)</f>
        <v>354.72553597608595</v>
      </c>
      <c r="E316" s="3">
        <f>C316 * (Inputs!$C$7/12)</f>
        <v>88.814951042632998</v>
      </c>
      <c r="F316" s="6">
        <f t="shared" si="23"/>
        <v>265.91058493345292</v>
      </c>
      <c r="G316" s="6">
        <f t="shared" si="24"/>
        <v>15407.316069648839</v>
      </c>
      <c r="H316" s="7">
        <f t="shared" si="26"/>
        <v>354.72553597608595</v>
      </c>
    </row>
    <row r="317" spans="1:8" x14ac:dyDescent="0.35">
      <c r="A317" s="2" t="str">
        <f>Inputs!$A$7</f>
        <v>L6</v>
      </c>
      <c r="B317" s="3">
        <v>11</v>
      </c>
      <c r="C317" s="6">
        <f t="shared" si="25"/>
        <v>15407.316069648839</v>
      </c>
      <c r="D317" s="6">
        <f>-PMT(Inputs!$C$7/12, Inputs!$D$7, Inputs!$B$7)</f>
        <v>354.72553597608595</v>
      </c>
      <c r="E317" s="3">
        <f>C317 * (Inputs!$C$7/12)</f>
        <v>87.308124394676767</v>
      </c>
      <c r="F317" s="6">
        <f t="shared" si="23"/>
        <v>267.41741158140917</v>
      </c>
      <c r="G317" s="6">
        <f t="shared" si="24"/>
        <v>15139.89865806743</v>
      </c>
      <c r="H317" s="7">
        <f t="shared" si="26"/>
        <v>354.72553597608595</v>
      </c>
    </row>
    <row r="318" spans="1:8" x14ac:dyDescent="0.35">
      <c r="A318" s="2" t="str">
        <f>Inputs!$A$7</f>
        <v>L6</v>
      </c>
      <c r="B318" s="3">
        <v>12</v>
      </c>
      <c r="C318" s="6">
        <f t="shared" si="25"/>
        <v>15139.89865806743</v>
      </c>
      <c r="D318" s="6">
        <f>-PMT(Inputs!$C$7/12, Inputs!$D$7, Inputs!$B$7)</f>
        <v>354.72553597608595</v>
      </c>
      <c r="E318" s="3">
        <f>C318 * (Inputs!$C$7/12)</f>
        <v>85.792759062382103</v>
      </c>
      <c r="F318" s="6">
        <f t="shared" si="23"/>
        <v>268.93277691370383</v>
      </c>
      <c r="G318" s="6">
        <f t="shared" si="24"/>
        <v>14870.965881153727</v>
      </c>
      <c r="H318" s="7">
        <f t="shared" si="26"/>
        <v>354.72553597608595</v>
      </c>
    </row>
    <row r="319" spans="1:8" x14ac:dyDescent="0.35">
      <c r="A319" s="2" t="str">
        <f>Inputs!$A$7</f>
        <v>L6</v>
      </c>
      <c r="B319" s="3">
        <v>13</v>
      </c>
      <c r="C319" s="6">
        <f t="shared" si="25"/>
        <v>14870.965881153727</v>
      </c>
      <c r="D319" s="6">
        <f>-PMT(Inputs!$C$7/12, Inputs!$D$7, Inputs!$B$7)</f>
        <v>354.72553597608595</v>
      </c>
      <c r="E319" s="3">
        <f>C319 * (Inputs!$C$7/12)</f>
        <v>84.268806659871117</v>
      </c>
      <c r="F319" s="6">
        <f t="shared" si="23"/>
        <v>270.45672931621482</v>
      </c>
      <c r="G319" s="6">
        <f t="shared" si="24"/>
        <v>14600.509151837512</v>
      </c>
      <c r="H319" s="7">
        <f t="shared" si="26"/>
        <v>354.72553597608595</v>
      </c>
    </row>
    <row r="320" spans="1:8" x14ac:dyDescent="0.35">
      <c r="A320" s="2" t="str">
        <f>Inputs!$A$7</f>
        <v>L6</v>
      </c>
      <c r="B320" s="3">
        <v>14</v>
      </c>
      <c r="C320" s="6">
        <f t="shared" si="25"/>
        <v>14600.509151837512</v>
      </c>
      <c r="D320" s="6">
        <f>-PMT(Inputs!$C$7/12, Inputs!$D$7, Inputs!$B$7)</f>
        <v>354.72553597608595</v>
      </c>
      <c r="E320" s="3">
        <f>C320 * (Inputs!$C$7/12)</f>
        <v>82.736218527079245</v>
      </c>
      <c r="F320" s="6">
        <f t="shared" si="23"/>
        <v>271.98931744900671</v>
      </c>
      <c r="G320" s="6">
        <f t="shared" si="24"/>
        <v>14328.519834388506</v>
      </c>
      <c r="H320" s="7">
        <f t="shared" si="26"/>
        <v>354.72553597608595</v>
      </c>
    </row>
    <row r="321" spans="1:8" x14ac:dyDescent="0.35">
      <c r="A321" s="2" t="str">
        <f>Inputs!$A$7</f>
        <v>L6</v>
      </c>
      <c r="B321" s="3">
        <v>15</v>
      </c>
      <c r="C321" s="6">
        <f t="shared" si="25"/>
        <v>14328.519834388506</v>
      </c>
      <c r="D321" s="6">
        <f>-PMT(Inputs!$C$7/12, Inputs!$D$7, Inputs!$B$7)</f>
        <v>354.72553597608595</v>
      </c>
      <c r="E321" s="3">
        <f>C321 * (Inputs!$C$7/12)</f>
        <v>81.194945728201546</v>
      </c>
      <c r="F321" s="6">
        <f t="shared" si="23"/>
        <v>273.53059024788439</v>
      </c>
      <c r="G321" s="6">
        <f t="shared" si="24"/>
        <v>14054.989244140621</v>
      </c>
      <c r="H321" s="7">
        <f t="shared" si="26"/>
        <v>354.72553597608595</v>
      </c>
    </row>
    <row r="322" spans="1:8" x14ac:dyDescent="0.35">
      <c r="A322" s="2" t="str">
        <f>Inputs!$A$7</f>
        <v>L6</v>
      </c>
      <c r="B322" s="3">
        <v>16</v>
      </c>
      <c r="C322" s="6">
        <f t="shared" si="25"/>
        <v>14054.989244140621</v>
      </c>
      <c r="D322" s="6">
        <f>-PMT(Inputs!$C$7/12, Inputs!$D$7, Inputs!$B$7)</f>
        <v>354.72553597608595</v>
      </c>
      <c r="E322" s="3">
        <f>C322 * (Inputs!$C$7/12)</f>
        <v>79.644939050130191</v>
      </c>
      <c r="F322" s="6">
        <f t="shared" si="23"/>
        <v>275.08059692595577</v>
      </c>
      <c r="G322" s="6">
        <f t="shared" si="24"/>
        <v>13779.908647214665</v>
      </c>
      <c r="H322" s="7">
        <f t="shared" si="26"/>
        <v>354.72553597608595</v>
      </c>
    </row>
    <row r="323" spans="1:8" x14ac:dyDescent="0.35">
      <c r="A323" s="2" t="str">
        <f>Inputs!$A$7</f>
        <v>L6</v>
      </c>
      <c r="B323" s="3">
        <v>17</v>
      </c>
      <c r="C323" s="6">
        <f t="shared" si="25"/>
        <v>13779.908647214665</v>
      </c>
      <c r="D323" s="6">
        <f>-PMT(Inputs!$C$7/12, Inputs!$D$7, Inputs!$B$7)</f>
        <v>354.72553597608595</v>
      </c>
      <c r="E323" s="3">
        <f>C323 * (Inputs!$C$7/12)</f>
        <v>78.086149000883111</v>
      </c>
      <c r="F323" s="6">
        <f t="shared" si="23"/>
        <v>276.63938697520285</v>
      </c>
      <c r="G323" s="6">
        <f t="shared" si="24"/>
        <v>13503.269260239462</v>
      </c>
      <c r="H323" s="7">
        <f t="shared" si="26"/>
        <v>354.72553597608595</v>
      </c>
    </row>
    <row r="324" spans="1:8" x14ac:dyDescent="0.35">
      <c r="A324" s="2" t="str">
        <f>Inputs!$A$7</f>
        <v>L6</v>
      </c>
      <c r="B324" s="3">
        <v>18</v>
      </c>
      <c r="C324" s="6">
        <f t="shared" si="25"/>
        <v>13503.269260239462</v>
      </c>
      <c r="D324" s="6">
        <f>-PMT(Inputs!$C$7/12, Inputs!$D$7, Inputs!$B$7)</f>
        <v>354.72553597608595</v>
      </c>
      <c r="E324" s="3">
        <f>C324 * (Inputs!$C$7/12)</f>
        <v>76.518525808023625</v>
      </c>
      <c r="F324" s="6">
        <f t="shared" si="23"/>
        <v>278.20701016806231</v>
      </c>
      <c r="G324" s="6">
        <f t="shared" si="24"/>
        <v>13225.0622500714</v>
      </c>
      <c r="H324" s="7">
        <f t="shared" si="26"/>
        <v>354.72553597608595</v>
      </c>
    </row>
    <row r="325" spans="1:8" x14ac:dyDescent="0.35">
      <c r="A325" s="2" t="str">
        <f>Inputs!$A$7</f>
        <v>L6</v>
      </c>
      <c r="B325" s="3">
        <v>19</v>
      </c>
      <c r="C325" s="6">
        <f t="shared" si="25"/>
        <v>13225.0622500714</v>
      </c>
      <c r="D325" s="6">
        <f>-PMT(Inputs!$C$7/12, Inputs!$D$7, Inputs!$B$7)</f>
        <v>354.72553597608595</v>
      </c>
      <c r="E325" s="3">
        <f>C325 * (Inputs!$C$7/12)</f>
        <v>74.942019417071265</v>
      </c>
      <c r="F325" s="6">
        <f t="shared" si="23"/>
        <v>279.78351655901469</v>
      </c>
      <c r="G325" s="6">
        <f t="shared" si="24"/>
        <v>12945.278733512385</v>
      </c>
      <c r="H325" s="7">
        <f t="shared" si="26"/>
        <v>354.72553597608595</v>
      </c>
    </row>
    <row r="326" spans="1:8" x14ac:dyDescent="0.35">
      <c r="A326" s="2" t="str">
        <f>Inputs!$A$7</f>
        <v>L6</v>
      </c>
      <c r="B326" s="3">
        <v>20</v>
      </c>
      <c r="C326" s="6">
        <f t="shared" si="25"/>
        <v>12945.278733512385</v>
      </c>
      <c r="D326" s="6">
        <f>-PMT(Inputs!$C$7/12, Inputs!$D$7, Inputs!$B$7)</f>
        <v>354.72553597608595</v>
      </c>
      <c r="E326" s="3">
        <f>C326 * (Inputs!$C$7/12)</f>
        <v>73.356579489903524</v>
      </c>
      <c r="F326" s="6">
        <f t="shared" si="23"/>
        <v>281.36895648618241</v>
      </c>
      <c r="G326" s="6">
        <f t="shared" si="24"/>
        <v>12663.909777026203</v>
      </c>
      <c r="H326" s="7">
        <f t="shared" si="26"/>
        <v>354.72553597608595</v>
      </c>
    </row>
    <row r="327" spans="1:8" x14ac:dyDescent="0.35">
      <c r="A327" s="2" t="str">
        <f>Inputs!$A$7</f>
        <v>L6</v>
      </c>
      <c r="B327" s="3">
        <v>21</v>
      </c>
      <c r="C327" s="6">
        <f t="shared" si="25"/>
        <v>12663.909777026203</v>
      </c>
      <c r="D327" s="6">
        <f>-PMT(Inputs!$C$7/12, Inputs!$D$7, Inputs!$B$7)</f>
        <v>354.72553597608595</v>
      </c>
      <c r="E327" s="3">
        <f>C327 * (Inputs!$C$7/12)</f>
        <v>71.762155403148498</v>
      </c>
      <c r="F327" s="6">
        <f t="shared" si="23"/>
        <v>282.96338057293747</v>
      </c>
      <c r="G327" s="6">
        <f t="shared" si="24"/>
        <v>12380.946396453266</v>
      </c>
      <c r="H327" s="7">
        <f t="shared" si="26"/>
        <v>354.72553597608595</v>
      </c>
    </row>
    <row r="328" spans="1:8" x14ac:dyDescent="0.35">
      <c r="A328" s="2" t="str">
        <f>Inputs!$A$7</f>
        <v>L6</v>
      </c>
      <c r="B328" s="3">
        <v>22</v>
      </c>
      <c r="C328" s="6">
        <f t="shared" si="25"/>
        <v>12380.946396453266</v>
      </c>
      <c r="D328" s="6">
        <f>-PMT(Inputs!$C$7/12, Inputs!$D$7, Inputs!$B$7)</f>
        <v>354.72553597608595</v>
      </c>
      <c r="E328" s="3">
        <f>C328 * (Inputs!$C$7/12)</f>
        <v>70.15869624656851</v>
      </c>
      <c r="F328" s="6">
        <f t="shared" si="23"/>
        <v>284.56683972951743</v>
      </c>
      <c r="G328" s="6">
        <f t="shared" si="24"/>
        <v>12096.379556723748</v>
      </c>
      <c r="H328" s="7">
        <f t="shared" si="26"/>
        <v>354.72553597608595</v>
      </c>
    </row>
    <row r="329" spans="1:8" x14ac:dyDescent="0.35">
      <c r="A329" s="2" t="str">
        <f>Inputs!$A$7</f>
        <v>L6</v>
      </c>
      <c r="B329" s="3">
        <v>23</v>
      </c>
      <c r="C329" s="6">
        <f t="shared" si="25"/>
        <v>12096.379556723748</v>
      </c>
      <c r="D329" s="6">
        <f>-PMT(Inputs!$C$7/12, Inputs!$D$7, Inputs!$B$7)</f>
        <v>354.72553597608595</v>
      </c>
      <c r="E329" s="3">
        <f>C329 * (Inputs!$C$7/12)</f>
        <v>68.54615082143458</v>
      </c>
      <c r="F329" s="6">
        <f t="shared" si="23"/>
        <v>286.17938515465136</v>
      </c>
      <c r="G329" s="6">
        <f t="shared" si="24"/>
        <v>11810.200171569097</v>
      </c>
      <c r="H329" s="7">
        <f t="shared" si="26"/>
        <v>354.72553597608595</v>
      </c>
    </row>
    <row r="330" spans="1:8" x14ac:dyDescent="0.35">
      <c r="A330" s="2" t="str">
        <f>Inputs!$A$7</f>
        <v>L6</v>
      </c>
      <c r="B330" s="3">
        <v>24</v>
      </c>
      <c r="C330" s="6">
        <f t="shared" si="25"/>
        <v>11810.200171569097</v>
      </c>
      <c r="D330" s="6">
        <f>-PMT(Inputs!$C$7/12, Inputs!$D$7, Inputs!$B$7)</f>
        <v>354.72553597608595</v>
      </c>
      <c r="E330" s="3">
        <f>C330 * (Inputs!$C$7/12)</f>
        <v>66.924467638891556</v>
      </c>
      <c r="F330" s="6">
        <f t="shared" si="23"/>
        <v>287.80106833719441</v>
      </c>
      <c r="G330" s="6">
        <f t="shared" si="24"/>
        <v>11522.399103231903</v>
      </c>
      <c r="H330" s="7">
        <f t="shared" si="26"/>
        <v>354.72553597608595</v>
      </c>
    </row>
    <row r="331" spans="1:8" x14ac:dyDescent="0.35">
      <c r="A331" s="2" t="str">
        <f>Inputs!$A$7</f>
        <v>L6</v>
      </c>
      <c r="B331" s="3">
        <v>25</v>
      </c>
      <c r="C331" s="6">
        <f t="shared" si="25"/>
        <v>11522.399103231903</v>
      </c>
      <c r="D331" s="6">
        <f>-PMT(Inputs!$C$7/12, Inputs!$D$7, Inputs!$B$7)</f>
        <v>354.72553597608595</v>
      </c>
      <c r="E331" s="3">
        <f>C331 * (Inputs!$C$7/12)</f>
        <v>65.293594918314113</v>
      </c>
      <c r="F331" s="6">
        <f t="shared" si="23"/>
        <v>289.43194105777184</v>
      </c>
      <c r="G331" s="6">
        <f t="shared" si="24"/>
        <v>11232.967162174131</v>
      </c>
      <c r="H331" s="7">
        <f t="shared" si="26"/>
        <v>354.72553597608595</v>
      </c>
    </row>
    <row r="332" spans="1:8" x14ac:dyDescent="0.35">
      <c r="A332" s="2" t="str">
        <f>Inputs!$A$7</f>
        <v>L6</v>
      </c>
      <c r="B332" s="3">
        <v>26</v>
      </c>
      <c r="C332" s="6">
        <f t="shared" si="25"/>
        <v>11232.967162174131</v>
      </c>
      <c r="D332" s="6">
        <f>-PMT(Inputs!$C$7/12, Inputs!$D$7, Inputs!$B$7)</f>
        <v>354.72553597608595</v>
      </c>
      <c r="E332" s="3">
        <f>C332 * (Inputs!$C$7/12)</f>
        <v>63.653480585653412</v>
      </c>
      <c r="F332" s="6">
        <f t="shared" si="23"/>
        <v>291.07205539043252</v>
      </c>
      <c r="G332" s="6">
        <f t="shared" si="24"/>
        <v>10941.895106783699</v>
      </c>
      <c r="H332" s="7">
        <f t="shared" si="26"/>
        <v>354.72553597608595</v>
      </c>
    </row>
    <row r="333" spans="1:8" x14ac:dyDescent="0.35">
      <c r="A333" s="2" t="str">
        <f>Inputs!$A$7</f>
        <v>L6</v>
      </c>
      <c r="B333" s="3">
        <v>27</v>
      </c>
      <c r="C333" s="6">
        <f t="shared" si="25"/>
        <v>10941.895106783699</v>
      </c>
      <c r="D333" s="6">
        <f>-PMT(Inputs!$C$7/12, Inputs!$D$7, Inputs!$B$7)</f>
        <v>354.72553597608595</v>
      </c>
      <c r="E333" s="3">
        <f>C333 * (Inputs!$C$7/12)</f>
        <v>62.004072271774298</v>
      </c>
      <c r="F333" s="6">
        <f t="shared" si="23"/>
        <v>292.72146370431165</v>
      </c>
      <c r="G333" s="6">
        <f t="shared" si="24"/>
        <v>10649.173643079386</v>
      </c>
      <c r="H333" s="7">
        <f t="shared" si="26"/>
        <v>354.72553597608595</v>
      </c>
    </row>
    <row r="334" spans="1:8" x14ac:dyDescent="0.35">
      <c r="A334" s="2" t="str">
        <f>Inputs!$A$7</f>
        <v>L6</v>
      </c>
      <c r="B334" s="3">
        <v>28</v>
      </c>
      <c r="C334" s="6">
        <f t="shared" si="25"/>
        <v>10649.173643079386</v>
      </c>
      <c r="D334" s="6">
        <f>-PMT(Inputs!$C$7/12, Inputs!$D$7, Inputs!$B$7)</f>
        <v>354.72553597608595</v>
      </c>
      <c r="E334" s="3">
        <f>C334 * (Inputs!$C$7/12)</f>
        <v>60.345317310783194</v>
      </c>
      <c r="F334" s="6">
        <f t="shared" si="23"/>
        <v>294.38021866530278</v>
      </c>
      <c r="G334" s="6">
        <f t="shared" si="24"/>
        <v>10354.793424414083</v>
      </c>
      <c r="H334" s="7">
        <f t="shared" si="26"/>
        <v>354.72553597608595</v>
      </c>
    </row>
    <row r="335" spans="1:8" x14ac:dyDescent="0.35">
      <c r="A335" s="2" t="str">
        <f>Inputs!$A$7</f>
        <v>L6</v>
      </c>
      <c r="B335" s="3">
        <v>29</v>
      </c>
      <c r="C335" s="6">
        <f t="shared" si="25"/>
        <v>10354.793424414083</v>
      </c>
      <c r="D335" s="6">
        <f>-PMT(Inputs!$C$7/12, Inputs!$D$7, Inputs!$B$7)</f>
        <v>354.72553597608595</v>
      </c>
      <c r="E335" s="3">
        <f>C335 * (Inputs!$C$7/12)</f>
        <v>58.677162738346475</v>
      </c>
      <c r="F335" s="6">
        <f t="shared" si="23"/>
        <v>296.0483732377395</v>
      </c>
      <c r="G335" s="6">
        <f t="shared" si="24"/>
        <v>10058.745051176344</v>
      </c>
      <c r="H335" s="7">
        <f t="shared" si="26"/>
        <v>354.72553597608595</v>
      </c>
    </row>
    <row r="336" spans="1:8" x14ac:dyDescent="0.35">
      <c r="A336" s="2" t="str">
        <f>Inputs!$A$7</f>
        <v>L6</v>
      </c>
      <c r="B336" s="3">
        <v>30</v>
      </c>
      <c r="C336" s="6">
        <f t="shared" si="25"/>
        <v>10058.745051176344</v>
      </c>
      <c r="D336" s="6">
        <f>-PMT(Inputs!$C$7/12, Inputs!$D$7, Inputs!$B$7)</f>
        <v>354.72553597608595</v>
      </c>
      <c r="E336" s="3">
        <f>C336 * (Inputs!$C$7/12)</f>
        <v>56.999555289999286</v>
      </c>
      <c r="F336" s="6">
        <f t="shared" si="23"/>
        <v>297.72598068608664</v>
      </c>
      <c r="G336" s="6">
        <f t="shared" si="24"/>
        <v>9761.0190704902561</v>
      </c>
      <c r="H336" s="7">
        <f t="shared" si="26"/>
        <v>354.72553597608595</v>
      </c>
    </row>
    <row r="337" spans="1:8" x14ac:dyDescent="0.35">
      <c r="A337" s="2" t="str">
        <f>Inputs!$A$7</f>
        <v>L6</v>
      </c>
      <c r="B337" s="3">
        <v>31</v>
      </c>
      <c r="C337" s="6">
        <f t="shared" si="25"/>
        <v>9761.0190704902561</v>
      </c>
      <c r="D337" s="6">
        <f>-PMT(Inputs!$C$7/12, Inputs!$D$7, Inputs!$B$7)</f>
        <v>354.72553597608595</v>
      </c>
      <c r="E337" s="3">
        <f>C337 * (Inputs!$C$7/12)</f>
        <v>55.312441399444786</v>
      </c>
      <c r="F337" s="6">
        <f t="shared" si="23"/>
        <v>299.41309457664119</v>
      </c>
      <c r="G337" s="6">
        <f t="shared" si="24"/>
        <v>9461.6059759136151</v>
      </c>
      <c r="H337" s="7">
        <f t="shared" si="26"/>
        <v>354.72553597608595</v>
      </c>
    </row>
    <row r="338" spans="1:8" x14ac:dyDescent="0.35">
      <c r="A338" s="2" t="str">
        <f>Inputs!$A$7</f>
        <v>L6</v>
      </c>
      <c r="B338" s="3">
        <v>32</v>
      </c>
      <c r="C338" s="6">
        <f t="shared" si="25"/>
        <v>9461.6059759136151</v>
      </c>
      <c r="D338" s="6">
        <f>-PMT(Inputs!$C$7/12, Inputs!$D$7, Inputs!$B$7)</f>
        <v>354.72553597608595</v>
      </c>
      <c r="E338" s="3">
        <f>C338 * (Inputs!$C$7/12)</f>
        <v>53.615767196843819</v>
      </c>
      <c r="F338" s="6">
        <f t="shared" si="23"/>
        <v>301.10976877924213</v>
      </c>
      <c r="G338" s="6">
        <f t="shared" si="24"/>
        <v>9160.4962071343725</v>
      </c>
      <c r="H338" s="7">
        <f t="shared" si="26"/>
        <v>354.72553597608595</v>
      </c>
    </row>
    <row r="339" spans="1:8" x14ac:dyDescent="0.35">
      <c r="A339" s="2" t="str">
        <f>Inputs!$A$7</f>
        <v>L6</v>
      </c>
      <c r="B339" s="3">
        <v>33</v>
      </c>
      <c r="C339" s="6">
        <f t="shared" si="25"/>
        <v>9160.4962071343725</v>
      </c>
      <c r="D339" s="6">
        <f>-PMT(Inputs!$C$7/12, Inputs!$D$7, Inputs!$B$7)</f>
        <v>354.72553597608595</v>
      </c>
      <c r="E339" s="3">
        <f>C339 * (Inputs!$C$7/12)</f>
        <v>51.909478507094782</v>
      </c>
      <c r="F339" s="6">
        <f t="shared" si="23"/>
        <v>302.81605746899118</v>
      </c>
      <c r="G339" s="6">
        <f t="shared" si="24"/>
        <v>8857.6801496653807</v>
      </c>
      <c r="H339" s="7">
        <f t="shared" si="26"/>
        <v>354.72553597608595</v>
      </c>
    </row>
    <row r="340" spans="1:8" x14ac:dyDescent="0.35">
      <c r="A340" s="2" t="str">
        <f>Inputs!$A$7</f>
        <v>L6</v>
      </c>
      <c r="B340" s="3">
        <v>34</v>
      </c>
      <c r="C340" s="6">
        <f t="shared" si="25"/>
        <v>8857.6801496653807</v>
      </c>
      <c r="D340" s="6">
        <f>-PMT(Inputs!$C$7/12, Inputs!$D$7, Inputs!$B$7)</f>
        <v>354.72553597608595</v>
      </c>
      <c r="E340" s="3">
        <f>C340 * (Inputs!$C$7/12)</f>
        <v>50.19352084810383</v>
      </c>
      <c r="F340" s="6">
        <f t="shared" si="23"/>
        <v>304.53201512798211</v>
      </c>
      <c r="G340" s="6">
        <f t="shared" si="24"/>
        <v>8553.1481345373977</v>
      </c>
      <c r="H340" s="7">
        <f t="shared" si="26"/>
        <v>354.72553597608595</v>
      </c>
    </row>
    <row r="341" spans="1:8" x14ac:dyDescent="0.35">
      <c r="A341" s="2" t="str">
        <f>Inputs!$A$7</f>
        <v>L6</v>
      </c>
      <c r="B341" s="3">
        <v>35</v>
      </c>
      <c r="C341" s="6">
        <f t="shared" si="25"/>
        <v>8553.1481345373977</v>
      </c>
      <c r="D341" s="6">
        <f>-PMT(Inputs!$C$7/12, Inputs!$D$7, Inputs!$B$7)</f>
        <v>354.72553597608595</v>
      </c>
      <c r="E341" s="3">
        <f>C341 * (Inputs!$C$7/12)</f>
        <v>48.467839429045256</v>
      </c>
      <c r="F341" s="6">
        <f t="shared" si="23"/>
        <v>306.25769654704072</v>
      </c>
      <c r="G341" s="6">
        <f t="shared" si="24"/>
        <v>8246.8904379903579</v>
      </c>
      <c r="H341" s="7">
        <f t="shared" ref="H341:H365" si="27">D339</f>
        <v>354.72553597608595</v>
      </c>
    </row>
    <row r="342" spans="1:8" x14ac:dyDescent="0.35">
      <c r="A342" s="2" t="str">
        <f>Inputs!$A$7</f>
        <v>L6</v>
      </c>
      <c r="B342" s="3">
        <v>36</v>
      </c>
      <c r="C342" s="6">
        <f t="shared" si="25"/>
        <v>8246.8904379903579</v>
      </c>
      <c r="D342" s="6">
        <f>-PMT(Inputs!$C$7/12, Inputs!$D$7, Inputs!$B$7)</f>
        <v>354.72553597608595</v>
      </c>
      <c r="E342" s="3">
        <f>C342 * (Inputs!$C$7/12)</f>
        <v>46.732379148612033</v>
      </c>
      <c r="F342" s="6">
        <f t="shared" si="23"/>
        <v>307.99315682747391</v>
      </c>
      <c r="G342" s="6">
        <f t="shared" si="24"/>
        <v>7938.8972811628837</v>
      </c>
      <c r="H342" s="7">
        <f t="shared" si="27"/>
        <v>354.72553597608595</v>
      </c>
    </row>
    <row r="343" spans="1:8" x14ac:dyDescent="0.35">
      <c r="A343" s="2" t="str">
        <f>Inputs!$A$7</f>
        <v>L6</v>
      </c>
      <c r="B343" s="3">
        <v>37</v>
      </c>
      <c r="C343" s="6">
        <f t="shared" si="25"/>
        <v>7938.8972811628837</v>
      </c>
      <c r="D343" s="6">
        <f>-PMT(Inputs!$C$7/12, Inputs!$D$7, Inputs!$B$7)</f>
        <v>354.72553597608595</v>
      </c>
      <c r="E343" s="3">
        <f>C343 * (Inputs!$C$7/12)</f>
        <v>44.987084593256341</v>
      </c>
      <c r="F343" s="6">
        <f t="shared" si="23"/>
        <v>309.73845138282962</v>
      </c>
      <c r="G343" s="6">
        <f t="shared" si="24"/>
        <v>7629.1588297800545</v>
      </c>
      <c r="H343" s="7">
        <f t="shared" si="27"/>
        <v>354.72553597608595</v>
      </c>
    </row>
    <row r="344" spans="1:8" x14ac:dyDescent="0.35">
      <c r="A344" s="2" t="str">
        <f>Inputs!$A$7</f>
        <v>L6</v>
      </c>
      <c r="B344" s="3">
        <v>38</v>
      </c>
      <c r="C344" s="6">
        <f t="shared" si="25"/>
        <v>7629.1588297800545</v>
      </c>
      <c r="D344" s="6">
        <f>-PMT(Inputs!$C$7/12, Inputs!$D$7, Inputs!$B$7)</f>
        <v>354.72553597608595</v>
      </c>
      <c r="E344" s="3">
        <f>C344 * (Inputs!$C$7/12)</f>
        <v>43.23190003542031</v>
      </c>
      <c r="F344" s="6">
        <f t="shared" si="23"/>
        <v>311.49363594066563</v>
      </c>
      <c r="G344" s="6">
        <f t="shared" si="24"/>
        <v>7317.6651938393888</v>
      </c>
      <c r="H344" s="7">
        <f t="shared" si="27"/>
        <v>354.72553597608595</v>
      </c>
    </row>
    <row r="345" spans="1:8" x14ac:dyDescent="0.35">
      <c r="A345" s="2" t="str">
        <f>Inputs!$A$7</f>
        <v>L6</v>
      </c>
      <c r="B345" s="3">
        <v>39</v>
      </c>
      <c r="C345" s="6">
        <f t="shared" si="25"/>
        <v>7317.6651938393888</v>
      </c>
      <c r="D345" s="6">
        <f>-PMT(Inputs!$C$7/12, Inputs!$D$7, Inputs!$B$7)</f>
        <v>354.72553597608595</v>
      </c>
      <c r="E345" s="3">
        <f>C345 * (Inputs!$C$7/12)</f>
        <v>41.466769431756539</v>
      </c>
      <c r="F345" s="6">
        <f t="shared" si="23"/>
        <v>313.25876654432943</v>
      </c>
      <c r="G345" s="6">
        <f t="shared" si="24"/>
        <v>7004.4064272950591</v>
      </c>
      <c r="H345" s="7">
        <f t="shared" si="27"/>
        <v>354.72553597608595</v>
      </c>
    </row>
    <row r="346" spans="1:8" x14ac:dyDescent="0.35">
      <c r="A346" s="2" t="str">
        <f>Inputs!$A$7</f>
        <v>L6</v>
      </c>
      <c r="B346" s="3">
        <v>40</v>
      </c>
      <c r="C346" s="6">
        <f t="shared" si="25"/>
        <v>7004.4064272950591</v>
      </c>
      <c r="D346" s="6">
        <f>-PMT(Inputs!$C$7/12, Inputs!$D$7, Inputs!$B$7)</f>
        <v>354.72553597608595</v>
      </c>
      <c r="E346" s="3">
        <f>C346 * (Inputs!$C$7/12)</f>
        <v>39.691636421338671</v>
      </c>
      <c r="F346" s="6">
        <f t="shared" si="23"/>
        <v>315.03389955474728</v>
      </c>
      <c r="G346" s="6">
        <f t="shared" si="24"/>
        <v>6689.3725277403119</v>
      </c>
      <c r="H346" s="7">
        <f t="shared" si="27"/>
        <v>354.72553597608595</v>
      </c>
    </row>
    <row r="347" spans="1:8" x14ac:dyDescent="0.35">
      <c r="A347" s="2" t="str">
        <f>Inputs!$A$7</f>
        <v>L6</v>
      </c>
      <c r="B347" s="3">
        <v>41</v>
      </c>
      <c r="C347" s="6">
        <f t="shared" si="25"/>
        <v>6689.3725277403119</v>
      </c>
      <c r="D347" s="6">
        <f>-PMT(Inputs!$C$7/12, Inputs!$D$7, Inputs!$B$7)</f>
        <v>354.72553597608595</v>
      </c>
      <c r="E347" s="3">
        <f>C347 * (Inputs!$C$7/12)</f>
        <v>37.90644432386177</v>
      </c>
      <c r="F347" s="6">
        <f t="shared" si="23"/>
        <v>316.81909165222419</v>
      </c>
      <c r="G347" s="6">
        <f t="shared" si="24"/>
        <v>6372.5534360880874</v>
      </c>
      <c r="H347" s="7">
        <f t="shared" si="27"/>
        <v>354.72553597608595</v>
      </c>
    </row>
    <row r="348" spans="1:8" x14ac:dyDescent="0.35">
      <c r="A348" s="2" t="str">
        <f>Inputs!$A$7</f>
        <v>L6</v>
      </c>
      <c r="B348" s="3">
        <v>42</v>
      </c>
      <c r="C348" s="6">
        <f t="shared" si="25"/>
        <v>6372.5534360880874</v>
      </c>
      <c r="D348" s="6">
        <f>-PMT(Inputs!$C$7/12, Inputs!$D$7, Inputs!$B$7)</f>
        <v>354.72553597608595</v>
      </c>
      <c r="E348" s="3">
        <f>C348 * (Inputs!$C$7/12)</f>
        <v>36.111136137832496</v>
      </c>
      <c r="F348" s="6">
        <f t="shared" si="23"/>
        <v>318.61439983825346</v>
      </c>
      <c r="G348" s="6">
        <f t="shared" si="24"/>
        <v>6053.9390362498343</v>
      </c>
      <c r="H348" s="7">
        <f t="shared" si="27"/>
        <v>354.72553597608595</v>
      </c>
    </row>
    <row r="349" spans="1:8" x14ac:dyDescent="0.35">
      <c r="A349" s="2" t="str">
        <f>Inputs!$A$7</f>
        <v>L6</v>
      </c>
      <c r="B349" s="3">
        <v>43</v>
      </c>
      <c r="C349" s="6">
        <f t="shared" si="25"/>
        <v>6053.9390362498343</v>
      </c>
      <c r="D349" s="6">
        <f>-PMT(Inputs!$C$7/12, Inputs!$D$7, Inputs!$B$7)</f>
        <v>354.72553597608595</v>
      </c>
      <c r="E349" s="3">
        <f>C349 * (Inputs!$C$7/12)</f>
        <v>34.30565453874906</v>
      </c>
      <c r="F349" s="6">
        <f t="shared" si="23"/>
        <v>320.41988143733687</v>
      </c>
      <c r="G349" s="6">
        <f t="shared" si="24"/>
        <v>5733.5191548124976</v>
      </c>
      <c r="H349" s="7">
        <f t="shared" si="27"/>
        <v>354.72553597608595</v>
      </c>
    </row>
    <row r="350" spans="1:8" x14ac:dyDescent="0.35">
      <c r="A350" s="2" t="str">
        <f>Inputs!$A$7</f>
        <v>L6</v>
      </c>
      <c r="B350" s="3">
        <v>44</v>
      </c>
      <c r="C350" s="6">
        <f t="shared" si="25"/>
        <v>5733.5191548124976</v>
      </c>
      <c r="D350" s="6">
        <f>-PMT(Inputs!$C$7/12, Inputs!$D$7, Inputs!$B$7)</f>
        <v>354.72553597608595</v>
      </c>
      <c r="E350" s="3">
        <f>C350 * (Inputs!$C$7/12)</f>
        <v>32.489941877270823</v>
      </c>
      <c r="F350" s="6">
        <f t="shared" si="23"/>
        <v>322.23559409881511</v>
      </c>
      <c r="G350" s="6">
        <f t="shared" si="24"/>
        <v>5411.2835607136822</v>
      </c>
      <c r="H350" s="7">
        <f t="shared" si="27"/>
        <v>354.72553597608595</v>
      </c>
    </row>
    <row r="351" spans="1:8" x14ac:dyDescent="0.35">
      <c r="A351" s="2" t="str">
        <f>Inputs!$A$7</f>
        <v>L6</v>
      </c>
      <c r="B351" s="3">
        <v>45</v>
      </c>
      <c r="C351" s="6">
        <f t="shared" si="25"/>
        <v>5411.2835607136822</v>
      </c>
      <c r="D351" s="6">
        <f>-PMT(Inputs!$C$7/12, Inputs!$D$7, Inputs!$B$7)</f>
        <v>354.72553597608595</v>
      </c>
      <c r="E351" s="3">
        <f>C351 * (Inputs!$C$7/12)</f>
        <v>30.663940177377533</v>
      </c>
      <c r="F351" s="6">
        <f t="shared" si="23"/>
        <v>324.06159579870842</v>
      </c>
      <c r="G351" s="6">
        <f t="shared" si="24"/>
        <v>5087.2219649149738</v>
      </c>
      <c r="H351" s="7">
        <f t="shared" si="27"/>
        <v>354.72553597608595</v>
      </c>
    </row>
    <row r="352" spans="1:8" x14ac:dyDescent="0.35">
      <c r="A352" s="2" t="str">
        <f>Inputs!$A$7</f>
        <v>L6</v>
      </c>
      <c r="B352" s="3">
        <v>46</v>
      </c>
      <c r="C352" s="6">
        <f t="shared" si="25"/>
        <v>5087.2219649149738</v>
      </c>
      <c r="D352" s="6">
        <f>-PMT(Inputs!$C$7/12, Inputs!$D$7, Inputs!$B$7)</f>
        <v>354.72553597608595</v>
      </c>
      <c r="E352" s="3">
        <f>C352 * (Inputs!$C$7/12)</f>
        <v>28.827591134518187</v>
      </c>
      <c r="F352" s="6">
        <f t="shared" si="23"/>
        <v>325.89794484156778</v>
      </c>
      <c r="G352" s="6">
        <f t="shared" si="24"/>
        <v>4761.3240200734062</v>
      </c>
      <c r="H352" s="7">
        <f t="shared" si="27"/>
        <v>354.72553597608595</v>
      </c>
    </row>
    <row r="353" spans="1:8" x14ac:dyDescent="0.35">
      <c r="A353" s="2" t="str">
        <f>Inputs!$A$7</f>
        <v>L6</v>
      </c>
      <c r="B353" s="3">
        <v>47</v>
      </c>
      <c r="C353" s="6">
        <f t="shared" si="25"/>
        <v>4761.3240200734062</v>
      </c>
      <c r="D353" s="6">
        <f>-PMT(Inputs!$C$7/12, Inputs!$D$7, Inputs!$B$7)</f>
        <v>354.72553597608595</v>
      </c>
      <c r="E353" s="3">
        <f>C353 * (Inputs!$C$7/12)</f>
        <v>26.980836113749305</v>
      </c>
      <c r="F353" s="6">
        <f t="shared" si="23"/>
        <v>327.74469986233663</v>
      </c>
      <c r="G353" s="6">
        <f t="shared" si="24"/>
        <v>4433.5793202110699</v>
      </c>
      <c r="H353" s="7">
        <f t="shared" si="27"/>
        <v>354.72553597608595</v>
      </c>
    </row>
    <row r="354" spans="1:8" x14ac:dyDescent="0.35">
      <c r="A354" s="2" t="str">
        <f>Inputs!$A$7</f>
        <v>L6</v>
      </c>
      <c r="B354" s="3">
        <v>48</v>
      </c>
      <c r="C354" s="6">
        <f t="shared" si="25"/>
        <v>4433.5793202110699</v>
      </c>
      <c r="D354" s="6">
        <f>-PMT(Inputs!$C$7/12, Inputs!$D$7, Inputs!$B$7)</f>
        <v>354.72553597608595</v>
      </c>
      <c r="E354" s="3">
        <f>C354 * (Inputs!$C$7/12)</f>
        <v>25.12361614786273</v>
      </c>
      <c r="F354" s="6">
        <f t="shared" si="23"/>
        <v>329.60191982822323</v>
      </c>
      <c r="G354" s="6">
        <f t="shared" si="24"/>
        <v>4103.977400382847</v>
      </c>
      <c r="H354" s="7">
        <f t="shared" si="27"/>
        <v>354.72553597608595</v>
      </c>
    </row>
    <row r="355" spans="1:8" x14ac:dyDescent="0.35">
      <c r="A355" s="2" t="str">
        <f>Inputs!$A$7</f>
        <v>L6</v>
      </c>
      <c r="B355" s="3">
        <v>49</v>
      </c>
      <c r="C355" s="6">
        <f t="shared" si="25"/>
        <v>4103.977400382847</v>
      </c>
      <c r="D355" s="6">
        <f>-PMT(Inputs!$C$7/12, Inputs!$D$7, Inputs!$B$7)</f>
        <v>354.72553597608595</v>
      </c>
      <c r="E355" s="3">
        <f>C355 * (Inputs!$C$7/12)</f>
        <v>23.2558719355028</v>
      </c>
      <c r="F355" s="6">
        <f t="shared" si="23"/>
        <v>331.46966404058315</v>
      </c>
      <c r="G355" s="6">
        <f t="shared" si="24"/>
        <v>3772.5077363422638</v>
      </c>
      <c r="H355" s="7">
        <f t="shared" si="27"/>
        <v>354.72553597608595</v>
      </c>
    </row>
    <row r="356" spans="1:8" x14ac:dyDescent="0.35">
      <c r="A356" s="2" t="str">
        <f>Inputs!$A$7</f>
        <v>L6</v>
      </c>
      <c r="B356" s="3">
        <v>50</v>
      </c>
      <c r="C356" s="6">
        <f t="shared" si="25"/>
        <v>3772.5077363422638</v>
      </c>
      <c r="D356" s="6">
        <f>-PMT(Inputs!$C$7/12, Inputs!$D$7, Inputs!$B$7)</f>
        <v>354.72553597608595</v>
      </c>
      <c r="E356" s="3">
        <f>C356 * (Inputs!$C$7/12)</f>
        <v>21.377543839272828</v>
      </c>
      <c r="F356" s="6">
        <f t="shared" si="23"/>
        <v>333.3479921368131</v>
      </c>
      <c r="G356" s="6">
        <f t="shared" si="24"/>
        <v>3439.1597442054508</v>
      </c>
      <c r="H356" s="7">
        <f t="shared" si="27"/>
        <v>354.72553597608595</v>
      </c>
    </row>
    <row r="357" spans="1:8" x14ac:dyDescent="0.35">
      <c r="A357" s="2" t="str">
        <f>Inputs!$A$7</f>
        <v>L6</v>
      </c>
      <c r="B357" s="3">
        <v>51</v>
      </c>
      <c r="C357" s="6">
        <f t="shared" si="25"/>
        <v>3439.1597442054508</v>
      </c>
      <c r="D357" s="6">
        <f>-PMT(Inputs!$C$7/12, Inputs!$D$7, Inputs!$B$7)</f>
        <v>354.72553597608595</v>
      </c>
      <c r="E357" s="3">
        <f>C357 * (Inputs!$C$7/12)</f>
        <v>19.48857188383089</v>
      </c>
      <c r="F357" s="6">
        <f t="shared" si="23"/>
        <v>335.23696409225505</v>
      </c>
      <c r="G357" s="6">
        <f t="shared" si="24"/>
        <v>3103.9227801131956</v>
      </c>
      <c r="H357" s="7">
        <f t="shared" si="27"/>
        <v>354.72553597608595</v>
      </c>
    </row>
    <row r="358" spans="1:8" x14ac:dyDescent="0.35">
      <c r="A358" s="2" t="str">
        <f>Inputs!$A$7</f>
        <v>L6</v>
      </c>
      <c r="B358" s="3">
        <v>52</v>
      </c>
      <c r="C358" s="6">
        <f t="shared" si="25"/>
        <v>3103.9227801131956</v>
      </c>
      <c r="D358" s="6">
        <f>-PMT(Inputs!$C$7/12, Inputs!$D$7, Inputs!$B$7)</f>
        <v>354.72553597608595</v>
      </c>
      <c r="E358" s="3">
        <f>C358 * (Inputs!$C$7/12)</f>
        <v>17.588895753974775</v>
      </c>
      <c r="F358" s="6">
        <f t="shared" si="23"/>
        <v>337.13664022211117</v>
      </c>
      <c r="G358" s="6">
        <f t="shared" si="24"/>
        <v>2766.7861398910845</v>
      </c>
      <c r="H358" s="7">
        <f t="shared" si="27"/>
        <v>354.72553597608595</v>
      </c>
    </row>
    <row r="359" spans="1:8" x14ac:dyDescent="0.35">
      <c r="A359" s="2" t="str">
        <f>Inputs!$A$7</f>
        <v>L6</v>
      </c>
      <c r="B359" s="3">
        <v>53</v>
      </c>
      <c r="C359" s="6">
        <f t="shared" si="25"/>
        <v>2766.7861398910845</v>
      </c>
      <c r="D359" s="6">
        <f>-PMT(Inputs!$C$7/12, Inputs!$D$7, Inputs!$B$7)</f>
        <v>354.72553597608595</v>
      </c>
      <c r="E359" s="3">
        <f>C359 * (Inputs!$C$7/12)</f>
        <v>15.678454792716147</v>
      </c>
      <c r="F359" s="6">
        <f t="shared" si="23"/>
        <v>339.04708118336981</v>
      </c>
      <c r="G359" s="6">
        <f t="shared" si="24"/>
        <v>2427.7390587077148</v>
      </c>
      <c r="H359" s="7">
        <f t="shared" si="27"/>
        <v>354.72553597608595</v>
      </c>
    </row>
    <row r="360" spans="1:8" x14ac:dyDescent="0.35">
      <c r="A360" s="2" t="str">
        <f>Inputs!$A$7</f>
        <v>L6</v>
      </c>
      <c r="B360" s="3">
        <v>54</v>
      </c>
      <c r="C360" s="6">
        <f t="shared" si="25"/>
        <v>2427.7390587077148</v>
      </c>
      <c r="D360" s="6">
        <f>-PMT(Inputs!$C$7/12, Inputs!$D$7, Inputs!$B$7)</f>
        <v>354.72553597608595</v>
      </c>
      <c r="E360" s="3">
        <f>C360 * (Inputs!$C$7/12)</f>
        <v>13.757187999343717</v>
      </c>
      <c r="F360" s="6">
        <f t="shared" si="23"/>
        <v>340.96834797674222</v>
      </c>
      <c r="G360" s="6">
        <f t="shared" si="24"/>
        <v>2086.7707107309725</v>
      </c>
      <c r="H360" s="7">
        <f t="shared" si="27"/>
        <v>354.72553597608595</v>
      </c>
    </row>
    <row r="361" spans="1:8" x14ac:dyDescent="0.35">
      <c r="A361" s="2" t="str">
        <f>Inputs!$A$7</f>
        <v>L6</v>
      </c>
      <c r="B361" s="3">
        <v>55</v>
      </c>
      <c r="C361" s="6">
        <f t="shared" si="25"/>
        <v>2086.7707107309725</v>
      </c>
      <c r="D361" s="6">
        <f>-PMT(Inputs!$C$7/12, Inputs!$D$7, Inputs!$B$7)</f>
        <v>354.72553597608595</v>
      </c>
      <c r="E361" s="3">
        <f>C361 * (Inputs!$C$7/12)</f>
        <v>11.825034027475512</v>
      </c>
      <c r="F361" s="6">
        <f t="shared" si="23"/>
        <v>342.90050194861044</v>
      </c>
      <c r="G361" s="6">
        <f t="shared" si="24"/>
        <v>1743.8702087823622</v>
      </c>
      <c r="H361" s="7">
        <f t="shared" si="27"/>
        <v>354.72553597608595</v>
      </c>
    </row>
    <row r="362" spans="1:8" x14ac:dyDescent="0.35">
      <c r="A362" s="2" t="str">
        <f>Inputs!$A$7</f>
        <v>L6</v>
      </c>
      <c r="B362" s="3">
        <v>56</v>
      </c>
      <c r="C362" s="6">
        <f t="shared" si="25"/>
        <v>1743.8702087823622</v>
      </c>
      <c r="D362" s="6">
        <f>-PMT(Inputs!$C$7/12, Inputs!$D$7, Inputs!$B$7)</f>
        <v>354.72553597608595</v>
      </c>
      <c r="E362" s="3">
        <f>C362 * (Inputs!$C$7/12)</f>
        <v>9.8819311831000523</v>
      </c>
      <c r="F362" s="6">
        <f t="shared" si="23"/>
        <v>344.8436047929859</v>
      </c>
      <c r="G362" s="6">
        <f t="shared" si="24"/>
        <v>1399.0266039893763</v>
      </c>
      <c r="H362" s="7">
        <f t="shared" si="27"/>
        <v>354.72553597608595</v>
      </c>
    </row>
    <row r="363" spans="1:8" x14ac:dyDescent="0.35">
      <c r="A363" s="2" t="str">
        <f>Inputs!$A$7</f>
        <v>L6</v>
      </c>
      <c r="B363" s="3">
        <v>57</v>
      </c>
      <c r="C363" s="6">
        <f t="shared" si="25"/>
        <v>1399.0266039893763</v>
      </c>
      <c r="D363" s="6">
        <f>-PMT(Inputs!$C$7/12, Inputs!$D$7, Inputs!$B$7)</f>
        <v>354.72553597608595</v>
      </c>
      <c r="E363" s="3">
        <f>C363 * (Inputs!$C$7/12)</f>
        <v>7.9278174226064664</v>
      </c>
      <c r="F363" s="6">
        <f t="shared" si="23"/>
        <v>346.79771855347951</v>
      </c>
      <c r="G363" s="6">
        <f t="shared" si="24"/>
        <v>1052.2288854358967</v>
      </c>
      <c r="H363" s="7">
        <f t="shared" si="27"/>
        <v>354.72553597608595</v>
      </c>
    </row>
    <row r="364" spans="1:8" x14ac:dyDescent="0.35">
      <c r="A364" s="2" t="str">
        <f>Inputs!$A$7</f>
        <v>L6</v>
      </c>
      <c r="B364" s="3">
        <v>58</v>
      </c>
      <c r="C364" s="6">
        <f t="shared" si="25"/>
        <v>1052.2288854358967</v>
      </c>
      <c r="D364" s="6">
        <f>-PMT(Inputs!$C$7/12, Inputs!$D$7, Inputs!$B$7)</f>
        <v>354.72553597608595</v>
      </c>
      <c r="E364" s="3">
        <f>C364 * (Inputs!$C$7/12)</f>
        <v>5.9626303508034146</v>
      </c>
      <c r="F364" s="6">
        <f t="shared" si="23"/>
        <v>348.76290562528254</v>
      </c>
      <c r="G364" s="6">
        <f t="shared" si="24"/>
        <v>703.46597981061416</v>
      </c>
      <c r="H364" s="7">
        <f t="shared" si="27"/>
        <v>354.72553597608595</v>
      </c>
    </row>
    <row r="365" spans="1:8" x14ac:dyDescent="0.35">
      <c r="A365" s="2" t="str">
        <f>Inputs!$A$7</f>
        <v>L6</v>
      </c>
      <c r="B365" s="3">
        <v>59</v>
      </c>
      <c r="C365" s="6">
        <f t="shared" si="25"/>
        <v>703.46597981061416</v>
      </c>
      <c r="D365" s="6">
        <f>-PMT(Inputs!$C$7/12, Inputs!$D$7, Inputs!$B$7)</f>
        <v>354.72553597608595</v>
      </c>
      <c r="E365" s="3">
        <f>C365 * (Inputs!$C$7/12)</f>
        <v>3.9863072189268141</v>
      </c>
      <c r="F365" s="6">
        <f t="shared" si="23"/>
        <v>350.73922875715914</v>
      </c>
      <c r="G365" s="6">
        <f t="shared" si="24"/>
        <v>352.72675105345502</v>
      </c>
      <c r="H365" s="7">
        <f t="shared" si="27"/>
        <v>354.72553597608595</v>
      </c>
    </row>
    <row r="366" spans="1:8" x14ac:dyDescent="0.35">
      <c r="A366" s="2" t="str">
        <f>Inputs!$A$7</f>
        <v>L6</v>
      </c>
      <c r="B366" s="4">
        <v>60</v>
      </c>
      <c r="C366" s="6">
        <f t="shared" si="25"/>
        <v>352.72675105345502</v>
      </c>
      <c r="D366" s="6">
        <f>-PMT(Inputs!$C$7/12, Inputs!$D$7, Inputs!$B$7)</f>
        <v>354.72553597608595</v>
      </c>
      <c r="E366" s="3">
        <f>C366 * (Inputs!$C$7/12)</f>
        <v>1.9987849226362453</v>
      </c>
      <c r="F366" s="6">
        <f t="shared" si="23"/>
        <v>352.72675105344973</v>
      </c>
      <c r="G366" s="6">
        <f>C366 - F366</f>
        <v>5.2864379540551454E-12</v>
      </c>
      <c r="H366" s="8">
        <f>D366</f>
        <v>354.72553597608595</v>
      </c>
    </row>
    <row r="368" spans="1:8" x14ac:dyDescent="0.35">
      <c r="A368" s="2" t="str">
        <f>Inputs!$A$8</f>
        <v>L7</v>
      </c>
      <c r="B368" s="3">
        <v>1</v>
      </c>
      <c r="C368" s="3">
        <f>Inputs!$B$8</f>
        <v>22000</v>
      </c>
      <c r="D368" s="6">
        <f>-PMT(Inputs!$C$8/12, Inputs!$D$8, Inputs!$B$8)</f>
        <v>440.83486910372284</v>
      </c>
      <c r="E368" s="3">
        <f>C368 * (Inputs!$C$8/12)</f>
        <v>137.5</v>
      </c>
      <c r="F368" s="6">
        <f>D368 - E368</f>
        <v>303.33486910372284</v>
      </c>
      <c r="G368" s="6">
        <f>C368 - F368</f>
        <v>21696.665130896276</v>
      </c>
      <c r="H368" s="7">
        <f>D368</f>
        <v>440.83486910372284</v>
      </c>
    </row>
    <row r="369" spans="1:8" x14ac:dyDescent="0.35">
      <c r="A369" s="2" t="str">
        <f>Inputs!$A$8</f>
        <v>L7</v>
      </c>
      <c r="B369" s="3">
        <v>2</v>
      </c>
      <c r="C369" s="6">
        <f>G368</f>
        <v>21696.665130896276</v>
      </c>
      <c r="D369" s="6">
        <f>-PMT(Inputs!$C$8/12, Inputs!$D$8, Inputs!$B$8)</f>
        <v>440.83486910372284</v>
      </c>
      <c r="E369" s="3">
        <f>C369 * (Inputs!$C$8/12)</f>
        <v>135.6041570681017</v>
      </c>
      <c r="F369" s="6">
        <f t="shared" ref="F369:F427" si="28">D369 - E369</f>
        <v>305.23071203562114</v>
      </c>
      <c r="G369" s="6">
        <f t="shared" ref="G369:G426" si="29">C369 - F369</f>
        <v>21391.434418860656</v>
      </c>
      <c r="H369" s="7">
        <f>D369</f>
        <v>440.83486910372284</v>
      </c>
    </row>
    <row r="370" spans="1:8" x14ac:dyDescent="0.35">
      <c r="A370" s="2" t="str">
        <f>Inputs!$A$8</f>
        <v>L7</v>
      </c>
      <c r="B370" s="3">
        <v>3</v>
      </c>
      <c r="C370" s="6">
        <f t="shared" ref="C370:C427" si="30">G369</f>
        <v>21391.434418860656</v>
      </c>
      <c r="D370" s="6">
        <f>-PMT(Inputs!$C$8/12, Inputs!$D$8, Inputs!$B$8)</f>
        <v>440.83486910372284</v>
      </c>
      <c r="E370" s="3">
        <f>C370 * (Inputs!$C$8/12)</f>
        <v>133.69646511787909</v>
      </c>
      <c r="F370" s="6">
        <f t="shared" si="28"/>
        <v>307.13840398584375</v>
      </c>
      <c r="G370" s="6">
        <f t="shared" si="29"/>
        <v>21084.296014874813</v>
      </c>
      <c r="H370" s="7">
        <f t="shared" ref="H370:H401" si="31">D368</f>
        <v>440.83486910372284</v>
      </c>
    </row>
    <row r="371" spans="1:8" x14ac:dyDescent="0.35">
      <c r="A371" s="2" t="str">
        <f>Inputs!$A$8</f>
        <v>L7</v>
      </c>
      <c r="B371" s="3">
        <v>4</v>
      </c>
      <c r="C371" s="6">
        <f t="shared" si="30"/>
        <v>21084.296014874813</v>
      </c>
      <c r="D371" s="6">
        <f>-PMT(Inputs!$C$8/12, Inputs!$D$8, Inputs!$B$8)</f>
        <v>440.83486910372284</v>
      </c>
      <c r="E371" s="3">
        <f>C371 * (Inputs!$C$8/12)</f>
        <v>131.77685009296758</v>
      </c>
      <c r="F371" s="6">
        <f t="shared" si="28"/>
        <v>309.05801901075529</v>
      </c>
      <c r="G371" s="6">
        <f t="shared" si="29"/>
        <v>20775.237995864059</v>
      </c>
      <c r="H371" s="7">
        <f t="shared" si="31"/>
        <v>440.83486910372284</v>
      </c>
    </row>
    <row r="372" spans="1:8" x14ac:dyDescent="0.35">
      <c r="A372" s="2" t="str">
        <f>Inputs!$A$8</f>
        <v>L7</v>
      </c>
      <c r="B372" s="3">
        <v>5</v>
      </c>
      <c r="C372" s="6">
        <f t="shared" si="30"/>
        <v>20775.237995864059</v>
      </c>
      <c r="D372" s="6">
        <f>-PMT(Inputs!$C$8/12, Inputs!$D$8, Inputs!$B$8)</f>
        <v>440.83486910372284</v>
      </c>
      <c r="E372" s="3">
        <f>C372 * (Inputs!$C$8/12)</f>
        <v>129.84523747415037</v>
      </c>
      <c r="F372" s="6">
        <f t="shared" si="28"/>
        <v>310.9896316295725</v>
      </c>
      <c r="G372" s="6">
        <f t="shared" si="29"/>
        <v>20464.248364234489</v>
      </c>
      <c r="H372" s="7">
        <f t="shared" si="31"/>
        <v>440.83486910372284</v>
      </c>
    </row>
    <row r="373" spans="1:8" x14ac:dyDescent="0.35">
      <c r="A373" s="2" t="str">
        <f>Inputs!$A$8</f>
        <v>L7</v>
      </c>
      <c r="B373" s="3">
        <v>6</v>
      </c>
      <c r="C373" s="6">
        <f t="shared" si="30"/>
        <v>20464.248364234489</v>
      </c>
      <c r="D373" s="6">
        <f>-PMT(Inputs!$C$8/12, Inputs!$D$8, Inputs!$B$8)</f>
        <v>440.83486910372284</v>
      </c>
      <c r="E373" s="3">
        <f>C373 * (Inputs!$C$8/12)</f>
        <v>127.90155227646554</v>
      </c>
      <c r="F373" s="6">
        <f t="shared" si="28"/>
        <v>312.93331682725727</v>
      </c>
      <c r="G373" s="6">
        <f t="shared" si="29"/>
        <v>20151.315047407232</v>
      </c>
      <c r="H373" s="7">
        <f t="shared" si="31"/>
        <v>440.83486910372284</v>
      </c>
    </row>
    <row r="374" spans="1:8" x14ac:dyDescent="0.35">
      <c r="A374" s="2" t="str">
        <f>Inputs!$A$8</f>
        <v>L7</v>
      </c>
      <c r="B374" s="3">
        <v>7</v>
      </c>
      <c r="C374" s="6">
        <f t="shared" si="30"/>
        <v>20151.315047407232</v>
      </c>
      <c r="D374" s="6">
        <f>-PMT(Inputs!$C$8/12, Inputs!$D$8, Inputs!$B$8)</f>
        <v>440.83486910372284</v>
      </c>
      <c r="E374" s="3">
        <f>C374 * (Inputs!$C$8/12)</f>
        <v>125.94571904629518</v>
      </c>
      <c r="F374" s="6">
        <f t="shared" si="28"/>
        <v>314.88915005742763</v>
      </c>
      <c r="G374" s="6">
        <f t="shared" si="29"/>
        <v>19836.425897349804</v>
      </c>
      <c r="H374" s="7">
        <f t="shared" si="31"/>
        <v>440.83486910372284</v>
      </c>
    </row>
    <row r="375" spans="1:8" x14ac:dyDescent="0.35">
      <c r="A375" s="2" t="str">
        <f>Inputs!$A$8</f>
        <v>L7</v>
      </c>
      <c r="B375" s="3">
        <v>8</v>
      </c>
      <c r="C375" s="6">
        <f t="shared" si="30"/>
        <v>19836.425897349804</v>
      </c>
      <c r="D375" s="6">
        <f>-PMT(Inputs!$C$8/12, Inputs!$D$8, Inputs!$B$8)</f>
        <v>440.83486910372284</v>
      </c>
      <c r="E375" s="3">
        <f>C375 * (Inputs!$C$8/12)</f>
        <v>123.97766185843626</v>
      </c>
      <c r="F375" s="6">
        <f t="shared" si="28"/>
        <v>316.85720724528659</v>
      </c>
      <c r="G375" s="6">
        <f t="shared" si="29"/>
        <v>19519.568690104516</v>
      </c>
      <c r="H375" s="7">
        <f t="shared" si="31"/>
        <v>440.83486910372284</v>
      </c>
    </row>
    <row r="376" spans="1:8" x14ac:dyDescent="0.35">
      <c r="A376" s="2" t="str">
        <f>Inputs!$A$8</f>
        <v>L7</v>
      </c>
      <c r="B376" s="3">
        <v>9</v>
      </c>
      <c r="C376" s="6">
        <f t="shared" si="30"/>
        <v>19519.568690104516</v>
      </c>
      <c r="D376" s="6">
        <f>-PMT(Inputs!$C$8/12, Inputs!$D$8, Inputs!$B$8)</f>
        <v>440.83486910372284</v>
      </c>
      <c r="E376" s="3">
        <f>C376 * (Inputs!$C$8/12)</f>
        <v>121.99730431315321</v>
      </c>
      <c r="F376" s="6">
        <f t="shared" si="28"/>
        <v>318.83756479056962</v>
      </c>
      <c r="G376" s="6">
        <f t="shared" si="29"/>
        <v>19200.731125313945</v>
      </c>
      <c r="H376" s="7">
        <f t="shared" si="31"/>
        <v>440.83486910372284</v>
      </c>
    </row>
    <row r="377" spans="1:8" x14ac:dyDescent="0.35">
      <c r="A377" s="2" t="str">
        <f>Inputs!$A$8</f>
        <v>L7</v>
      </c>
      <c r="B377" s="3">
        <v>10</v>
      </c>
      <c r="C377" s="6">
        <f t="shared" si="30"/>
        <v>19200.731125313945</v>
      </c>
      <c r="D377" s="6">
        <f>-PMT(Inputs!$C$8/12, Inputs!$D$8, Inputs!$B$8)</f>
        <v>440.83486910372284</v>
      </c>
      <c r="E377" s="3">
        <f>C377 * (Inputs!$C$8/12)</f>
        <v>120.00456953321215</v>
      </c>
      <c r="F377" s="6">
        <f t="shared" si="28"/>
        <v>320.8302995705107</v>
      </c>
      <c r="G377" s="6">
        <f t="shared" si="29"/>
        <v>18879.900825743436</v>
      </c>
      <c r="H377" s="7">
        <f t="shared" si="31"/>
        <v>440.83486910372284</v>
      </c>
    </row>
    <row r="378" spans="1:8" x14ac:dyDescent="0.35">
      <c r="A378" s="2" t="str">
        <f>Inputs!$A$8</f>
        <v>L7</v>
      </c>
      <c r="B378" s="3">
        <v>11</v>
      </c>
      <c r="C378" s="6">
        <f t="shared" si="30"/>
        <v>18879.900825743436</v>
      </c>
      <c r="D378" s="6">
        <f>-PMT(Inputs!$C$8/12, Inputs!$D$8, Inputs!$B$8)</f>
        <v>440.83486910372284</v>
      </c>
      <c r="E378" s="3">
        <f>C378 * (Inputs!$C$8/12)</f>
        <v>117.99938016089646</v>
      </c>
      <c r="F378" s="6">
        <f t="shared" si="28"/>
        <v>322.83548894282637</v>
      </c>
      <c r="G378" s="6">
        <f t="shared" si="29"/>
        <v>18557.06533680061</v>
      </c>
      <c r="H378" s="7">
        <f t="shared" si="31"/>
        <v>440.83486910372284</v>
      </c>
    </row>
    <row r="379" spans="1:8" x14ac:dyDescent="0.35">
      <c r="A379" s="2" t="str">
        <f>Inputs!$A$8</f>
        <v>L7</v>
      </c>
      <c r="B379" s="3">
        <v>12</v>
      </c>
      <c r="C379" s="6">
        <f t="shared" si="30"/>
        <v>18557.06533680061</v>
      </c>
      <c r="D379" s="6">
        <f>-PMT(Inputs!$C$8/12, Inputs!$D$8, Inputs!$B$8)</f>
        <v>440.83486910372284</v>
      </c>
      <c r="E379" s="3">
        <f>C379 * (Inputs!$C$8/12)</f>
        <v>115.9816583550038</v>
      </c>
      <c r="F379" s="6">
        <f t="shared" si="28"/>
        <v>324.85321074871905</v>
      </c>
      <c r="G379" s="6">
        <f t="shared" si="29"/>
        <v>18232.212126051891</v>
      </c>
      <c r="H379" s="7">
        <f t="shared" si="31"/>
        <v>440.83486910372284</v>
      </c>
    </row>
    <row r="380" spans="1:8" x14ac:dyDescent="0.35">
      <c r="A380" s="2" t="str">
        <f>Inputs!$A$8</f>
        <v>L7</v>
      </c>
      <c r="B380" s="3">
        <v>13</v>
      </c>
      <c r="C380" s="6">
        <f t="shared" si="30"/>
        <v>18232.212126051891</v>
      </c>
      <c r="D380" s="6">
        <f>-PMT(Inputs!$C$8/12, Inputs!$D$8, Inputs!$B$8)</f>
        <v>440.83486910372284</v>
      </c>
      <c r="E380" s="3">
        <f>C380 * (Inputs!$C$8/12)</f>
        <v>113.9513257878243</v>
      </c>
      <c r="F380" s="6">
        <f t="shared" si="28"/>
        <v>326.88354331589852</v>
      </c>
      <c r="G380" s="6">
        <f t="shared" si="29"/>
        <v>17905.32858273599</v>
      </c>
      <c r="H380" s="7">
        <f t="shared" si="31"/>
        <v>440.83486910372284</v>
      </c>
    </row>
    <row r="381" spans="1:8" x14ac:dyDescent="0.35">
      <c r="A381" s="2" t="str">
        <f>Inputs!$A$8</f>
        <v>L7</v>
      </c>
      <c r="B381" s="3">
        <v>14</v>
      </c>
      <c r="C381" s="6">
        <f t="shared" si="30"/>
        <v>17905.32858273599</v>
      </c>
      <c r="D381" s="6">
        <f>-PMT(Inputs!$C$8/12, Inputs!$D$8, Inputs!$B$8)</f>
        <v>440.83486910372284</v>
      </c>
      <c r="E381" s="3">
        <f>C381 * (Inputs!$C$8/12)</f>
        <v>111.90830364209994</v>
      </c>
      <c r="F381" s="6">
        <f t="shared" si="28"/>
        <v>328.92656546162289</v>
      </c>
      <c r="G381" s="6">
        <f t="shared" si="29"/>
        <v>17576.402017274369</v>
      </c>
      <c r="H381" s="7">
        <f t="shared" si="31"/>
        <v>440.83486910372284</v>
      </c>
    </row>
    <row r="382" spans="1:8" x14ac:dyDescent="0.35">
      <c r="A382" s="2" t="str">
        <f>Inputs!$A$8</f>
        <v>L7</v>
      </c>
      <c r="B382" s="3">
        <v>15</v>
      </c>
      <c r="C382" s="6">
        <f t="shared" si="30"/>
        <v>17576.402017274369</v>
      </c>
      <c r="D382" s="6">
        <f>-PMT(Inputs!$C$8/12, Inputs!$D$8, Inputs!$B$8)</f>
        <v>440.83486910372284</v>
      </c>
      <c r="E382" s="3">
        <f>C382 * (Inputs!$C$8/12)</f>
        <v>109.8525126079648</v>
      </c>
      <c r="F382" s="6">
        <f t="shared" si="28"/>
        <v>330.98235649575804</v>
      </c>
      <c r="G382" s="6">
        <f t="shared" si="29"/>
        <v>17245.419660778611</v>
      </c>
      <c r="H382" s="7">
        <f t="shared" si="31"/>
        <v>440.83486910372284</v>
      </c>
    </row>
    <row r="383" spans="1:8" x14ac:dyDescent="0.35">
      <c r="A383" s="2" t="str">
        <f>Inputs!$A$8</f>
        <v>L7</v>
      </c>
      <c r="B383" s="3">
        <v>16</v>
      </c>
      <c r="C383" s="6">
        <f t="shared" si="30"/>
        <v>17245.419660778611</v>
      </c>
      <c r="D383" s="6">
        <f>-PMT(Inputs!$C$8/12, Inputs!$D$8, Inputs!$B$8)</f>
        <v>440.83486910372284</v>
      </c>
      <c r="E383" s="3">
        <f>C383 * (Inputs!$C$8/12)</f>
        <v>107.78387287986631</v>
      </c>
      <c r="F383" s="6">
        <f t="shared" si="28"/>
        <v>333.05099622385654</v>
      </c>
      <c r="G383" s="6">
        <f t="shared" si="29"/>
        <v>16912.368664554753</v>
      </c>
      <c r="H383" s="7">
        <f t="shared" si="31"/>
        <v>440.83486910372284</v>
      </c>
    </row>
    <row r="384" spans="1:8" x14ac:dyDescent="0.35">
      <c r="A384" s="2" t="str">
        <f>Inputs!$A$8</f>
        <v>L7</v>
      </c>
      <c r="B384" s="3">
        <v>17</v>
      </c>
      <c r="C384" s="6">
        <f t="shared" si="30"/>
        <v>16912.368664554753</v>
      </c>
      <c r="D384" s="6">
        <f>-PMT(Inputs!$C$8/12, Inputs!$D$8, Inputs!$B$8)</f>
        <v>440.83486910372284</v>
      </c>
      <c r="E384" s="3">
        <f>C384 * (Inputs!$C$8/12)</f>
        <v>105.7023041534672</v>
      </c>
      <c r="F384" s="6">
        <f t="shared" si="28"/>
        <v>335.13256495025564</v>
      </c>
      <c r="G384" s="6">
        <f t="shared" si="29"/>
        <v>16577.236099604499</v>
      </c>
      <c r="H384" s="7">
        <f t="shared" si="31"/>
        <v>440.83486910372284</v>
      </c>
    </row>
    <row r="385" spans="1:8" x14ac:dyDescent="0.35">
      <c r="A385" s="2" t="str">
        <f>Inputs!$A$8</f>
        <v>L7</v>
      </c>
      <c r="B385" s="3">
        <v>18</v>
      </c>
      <c r="C385" s="6">
        <f t="shared" si="30"/>
        <v>16577.236099604499</v>
      </c>
      <c r="D385" s="6">
        <f>-PMT(Inputs!$C$8/12, Inputs!$D$8, Inputs!$B$8)</f>
        <v>440.83486910372284</v>
      </c>
      <c r="E385" s="3">
        <f>C385 * (Inputs!$C$8/12)</f>
        <v>103.60772562252811</v>
      </c>
      <c r="F385" s="6">
        <f t="shared" si="28"/>
        <v>337.22714348119473</v>
      </c>
      <c r="G385" s="6">
        <f t="shared" si="29"/>
        <v>16240.008956123304</v>
      </c>
      <c r="H385" s="7">
        <f t="shared" si="31"/>
        <v>440.83486910372284</v>
      </c>
    </row>
    <row r="386" spans="1:8" x14ac:dyDescent="0.35">
      <c r="A386" s="2" t="str">
        <f>Inputs!$A$8</f>
        <v>L7</v>
      </c>
      <c r="B386" s="3">
        <v>19</v>
      </c>
      <c r="C386" s="6">
        <f t="shared" si="30"/>
        <v>16240.008956123304</v>
      </c>
      <c r="D386" s="6">
        <f>-PMT(Inputs!$C$8/12, Inputs!$D$8, Inputs!$B$8)</f>
        <v>440.83486910372284</v>
      </c>
      <c r="E386" s="3">
        <f>C386 * (Inputs!$C$8/12)</f>
        <v>101.50005597577064</v>
      </c>
      <c r="F386" s="6">
        <f t="shared" si="28"/>
        <v>339.3348131279522</v>
      </c>
      <c r="G386" s="6">
        <f t="shared" si="29"/>
        <v>15900.674142995351</v>
      </c>
      <c r="H386" s="7">
        <f t="shared" si="31"/>
        <v>440.83486910372284</v>
      </c>
    </row>
    <row r="387" spans="1:8" x14ac:dyDescent="0.35">
      <c r="A387" s="2" t="str">
        <f>Inputs!$A$8</f>
        <v>L7</v>
      </c>
      <c r="B387" s="3">
        <v>20</v>
      </c>
      <c r="C387" s="6">
        <f t="shared" si="30"/>
        <v>15900.674142995351</v>
      </c>
      <c r="D387" s="6">
        <f>-PMT(Inputs!$C$8/12, Inputs!$D$8, Inputs!$B$8)</f>
        <v>440.83486910372284</v>
      </c>
      <c r="E387" s="3">
        <f>C387 * (Inputs!$C$8/12)</f>
        <v>99.379213393720931</v>
      </c>
      <c r="F387" s="6">
        <f t="shared" si="28"/>
        <v>341.45565571000191</v>
      </c>
      <c r="G387" s="6">
        <f t="shared" si="29"/>
        <v>15559.218487285349</v>
      </c>
      <c r="H387" s="7">
        <f t="shared" si="31"/>
        <v>440.83486910372284</v>
      </c>
    </row>
    <row r="388" spans="1:8" x14ac:dyDescent="0.35">
      <c r="A388" s="2" t="str">
        <f>Inputs!$A$8</f>
        <v>L7</v>
      </c>
      <c r="B388" s="3">
        <v>21</v>
      </c>
      <c r="C388" s="6">
        <f t="shared" si="30"/>
        <v>15559.218487285349</v>
      </c>
      <c r="D388" s="6">
        <f>-PMT(Inputs!$C$8/12, Inputs!$D$8, Inputs!$B$8)</f>
        <v>440.83486910372284</v>
      </c>
      <c r="E388" s="3">
        <f>C388 * (Inputs!$C$8/12)</f>
        <v>97.245115545533423</v>
      </c>
      <c r="F388" s="6">
        <f t="shared" si="28"/>
        <v>343.58975355818939</v>
      </c>
      <c r="G388" s="6">
        <f t="shared" si="29"/>
        <v>15215.628733727159</v>
      </c>
      <c r="H388" s="7">
        <f t="shared" si="31"/>
        <v>440.83486910372284</v>
      </c>
    </row>
    <row r="389" spans="1:8" x14ac:dyDescent="0.35">
      <c r="A389" s="2" t="str">
        <f>Inputs!$A$8</f>
        <v>L7</v>
      </c>
      <c r="B389" s="3">
        <v>22</v>
      </c>
      <c r="C389" s="6">
        <f t="shared" si="30"/>
        <v>15215.628733727159</v>
      </c>
      <c r="D389" s="6">
        <f>-PMT(Inputs!$C$8/12, Inputs!$D$8, Inputs!$B$8)</f>
        <v>440.83486910372284</v>
      </c>
      <c r="E389" s="3">
        <f>C389 * (Inputs!$C$8/12)</f>
        <v>95.097679585794737</v>
      </c>
      <c r="F389" s="6">
        <f t="shared" si="28"/>
        <v>345.73718951792807</v>
      </c>
      <c r="G389" s="6">
        <f t="shared" si="29"/>
        <v>14869.891544209231</v>
      </c>
      <c r="H389" s="7">
        <f t="shared" si="31"/>
        <v>440.83486910372284</v>
      </c>
    </row>
    <row r="390" spans="1:8" x14ac:dyDescent="0.35">
      <c r="A390" s="2" t="str">
        <f>Inputs!$A$8</f>
        <v>L7</v>
      </c>
      <c r="B390" s="3">
        <v>23</v>
      </c>
      <c r="C390" s="6">
        <f t="shared" si="30"/>
        <v>14869.891544209231</v>
      </c>
      <c r="D390" s="6">
        <f>-PMT(Inputs!$C$8/12, Inputs!$D$8, Inputs!$B$8)</f>
        <v>440.83486910372284</v>
      </c>
      <c r="E390" s="3">
        <f>C390 * (Inputs!$C$8/12)</f>
        <v>92.93682215130768</v>
      </c>
      <c r="F390" s="6">
        <f t="shared" si="28"/>
        <v>347.89804695241514</v>
      </c>
      <c r="G390" s="6">
        <f t="shared" si="29"/>
        <v>14521.993497256815</v>
      </c>
      <c r="H390" s="7">
        <f t="shared" si="31"/>
        <v>440.83486910372284</v>
      </c>
    </row>
    <row r="391" spans="1:8" x14ac:dyDescent="0.35">
      <c r="A391" s="2" t="str">
        <f>Inputs!$A$8</f>
        <v>L7</v>
      </c>
      <c r="B391" s="3">
        <v>24</v>
      </c>
      <c r="C391" s="6">
        <f t="shared" si="30"/>
        <v>14521.993497256815</v>
      </c>
      <c r="D391" s="6">
        <f>-PMT(Inputs!$C$8/12, Inputs!$D$8, Inputs!$B$8)</f>
        <v>440.83486910372284</v>
      </c>
      <c r="E391" s="3">
        <f>C391 * (Inputs!$C$8/12)</f>
        <v>90.762459357855093</v>
      </c>
      <c r="F391" s="6">
        <f t="shared" si="28"/>
        <v>350.07240974586773</v>
      </c>
      <c r="G391" s="6">
        <f t="shared" si="29"/>
        <v>14171.921087510947</v>
      </c>
      <c r="H391" s="7">
        <f t="shared" si="31"/>
        <v>440.83486910372284</v>
      </c>
    </row>
    <row r="392" spans="1:8" x14ac:dyDescent="0.35">
      <c r="A392" s="2" t="str">
        <f>Inputs!$A$8</f>
        <v>L7</v>
      </c>
      <c r="B392" s="3">
        <v>25</v>
      </c>
      <c r="C392" s="6">
        <f t="shared" si="30"/>
        <v>14171.921087510947</v>
      </c>
      <c r="D392" s="6">
        <f>-PMT(Inputs!$C$8/12, Inputs!$D$8, Inputs!$B$8)</f>
        <v>440.83486910372284</v>
      </c>
      <c r="E392" s="3">
        <f>C392 * (Inputs!$C$8/12)</f>
        <v>88.57450679694341</v>
      </c>
      <c r="F392" s="6">
        <f t="shared" si="28"/>
        <v>352.26036230677943</v>
      </c>
      <c r="G392" s="6">
        <f t="shared" si="29"/>
        <v>13819.660725204169</v>
      </c>
      <c r="H392" s="7">
        <f t="shared" si="31"/>
        <v>440.83486910372284</v>
      </c>
    </row>
    <row r="393" spans="1:8" x14ac:dyDescent="0.35">
      <c r="A393" s="2" t="str">
        <f>Inputs!$A$8</f>
        <v>L7</v>
      </c>
      <c r="B393" s="3">
        <v>26</v>
      </c>
      <c r="C393" s="6">
        <f t="shared" si="30"/>
        <v>13819.660725204169</v>
      </c>
      <c r="D393" s="6">
        <f>-PMT(Inputs!$C$8/12, Inputs!$D$8, Inputs!$B$8)</f>
        <v>440.83486910372284</v>
      </c>
      <c r="E393" s="3">
        <f>C393 * (Inputs!$C$8/12)</f>
        <v>86.372879532526042</v>
      </c>
      <c r="F393" s="6">
        <f t="shared" si="28"/>
        <v>354.4619895711968</v>
      </c>
      <c r="G393" s="6">
        <f t="shared" si="29"/>
        <v>13465.198735632972</v>
      </c>
      <c r="H393" s="7">
        <f t="shared" si="31"/>
        <v>440.83486910372284</v>
      </c>
    </row>
    <row r="394" spans="1:8" x14ac:dyDescent="0.35">
      <c r="A394" s="2" t="str">
        <f>Inputs!$A$8</f>
        <v>L7</v>
      </c>
      <c r="B394" s="3">
        <v>27</v>
      </c>
      <c r="C394" s="6">
        <f t="shared" si="30"/>
        <v>13465.198735632972</v>
      </c>
      <c r="D394" s="6">
        <f>-PMT(Inputs!$C$8/12, Inputs!$D$8, Inputs!$B$8)</f>
        <v>440.83486910372284</v>
      </c>
      <c r="E394" s="3">
        <f>C394 * (Inputs!$C$8/12)</f>
        <v>84.157492097706069</v>
      </c>
      <c r="F394" s="6">
        <f t="shared" si="28"/>
        <v>356.67737700601674</v>
      </c>
      <c r="G394" s="6">
        <f t="shared" si="29"/>
        <v>13108.521358626955</v>
      </c>
      <c r="H394" s="7">
        <f t="shared" si="31"/>
        <v>440.83486910372284</v>
      </c>
    </row>
    <row r="395" spans="1:8" x14ac:dyDescent="0.35">
      <c r="A395" s="2" t="str">
        <f>Inputs!$A$8</f>
        <v>L7</v>
      </c>
      <c r="B395" s="3">
        <v>28</v>
      </c>
      <c r="C395" s="6">
        <f t="shared" si="30"/>
        <v>13108.521358626955</v>
      </c>
      <c r="D395" s="6">
        <f>-PMT(Inputs!$C$8/12, Inputs!$D$8, Inputs!$B$8)</f>
        <v>440.83486910372284</v>
      </c>
      <c r="E395" s="3">
        <f>C395 * (Inputs!$C$8/12)</f>
        <v>81.928258491418461</v>
      </c>
      <c r="F395" s="6">
        <f t="shared" si="28"/>
        <v>358.90661061230435</v>
      </c>
      <c r="G395" s="6">
        <f t="shared" si="29"/>
        <v>12749.61474801465</v>
      </c>
      <c r="H395" s="7">
        <f t="shared" si="31"/>
        <v>440.83486910372284</v>
      </c>
    </row>
    <row r="396" spans="1:8" x14ac:dyDescent="0.35">
      <c r="A396" s="2" t="str">
        <f>Inputs!$A$8</f>
        <v>L7</v>
      </c>
      <c r="B396" s="3">
        <v>29</v>
      </c>
      <c r="C396" s="6">
        <f t="shared" si="30"/>
        <v>12749.61474801465</v>
      </c>
      <c r="D396" s="6">
        <f>-PMT(Inputs!$C$8/12, Inputs!$D$8, Inputs!$B$8)</f>
        <v>440.83486910372284</v>
      </c>
      <c r="E396" s="3">
        <f>C396 * (Inputs!$C$8/12)</f>
        <v>79.685092175091555</v>
      </c>
      <c r="F396" s="6">
        <f t="shared" si="28"/>
        <v>361.1497769286313</v>
      </c>
      <c r="G396" s="6">
        <f t="shared" si="29"/>
        <v>12388.464971086019</v>
      </c>
      <c r="H396" s="7">
        <f t="shared" si="31"/>
        <v>440.83486910372284</v>
      </c>
    </row>
    <row r="397" spans="1:8" x14ac:dyDescent="0.35">
      <c r="A397" s="2" t="str">
        <f>Inputs!$A$8</f>
        <v>L7</v>
      </c>
      <c r="B397" s="3">
        <v>30</v>
      </c>
      <c r="C397" s="6">
        <f t="shared" si="30"/>
        <v>12388.464971086019</v>
      </c>
      <c r="D397" s="6">
        <f>-PMT(Inputs!$C$8/12, Inputs!$D$8, Inputs!$B$8)</f>
        <v>440.83486910372284</v>
      </c>
      <c r="E397" s="3">
        <f>C397 * (Inputs!$C$8/12)</f>
        <v>77.427906069287616</v>
      </c>
      <c r="F397" s="6">
        <f t="shared" si="28"/>
        <v>363.40696303443519</v>
      </c>
      <c r="G397" s="6">
        <f t="shared" si="29"/>
        <v>12025.058008051585</v>
      </c>
      <c r="H397" s="7">
        <f t="shared" si="31"/>
        <v>440.83486910372284</v>
      </c>
    </row>
    <row r="398" spans="1:8" x14ac:dyDescent="0.35">
      <c r="A398" s="2" t="str">
        <f>Inputs!$A$8</f>
        <v>L7</v>
      </c>
      <c r="B398" s="3">
        <v>31</v>
      </c>
      <c r="C398" s="6">
        <f t="shared" si="30"/>
        <v>12025.058008051585</v>
      </c>
      <c r="D398" s="6">
        <f>-PMT(Inputs!$C$8/12, Inputs!$D$8, Inputs!$B$8)</f>
        <v>440.83486910372284</v>
      </c>
      <c r="E398" s="3">
        <f>C398 * (Inputs!$C$8/12)</f>
        <v>75.156612550322393</v>
      </c>
      <c r="F398" s="6">
        <f t="shared" si="28"/>
        <v>365.67825655340044</v>
      </c>
      <c r="G398" s="6">
        <f t="shared" si="29"/>
        <v>11659.379751498183</v>
      </c>
      <c r="H398" s="7">
        <f t="shared" si="31"/>
        <v>440.83486910372284</v>
      </c>
    </row>
    <row r="399" spans="1:8" x14ac:dyDescent="0.35">
      <c r="A399" s="2" t="str">
        <f>Inputs!$A$8</f>
        <v>L7</v>
      </c>
      <c r="B399" s="3">
        <v>32</v>
      </c>
      <c r="C399" s="6">
        <f t="shared" si="30"/>
        <v>11659.379751498183</v>
      </c>
      <c r="D399" s="6">
        <f>-PMT(Inputs!$C$8/12, Inputs!$D$8, Inputs!$B$8)</f>
        <v>440.83486910372284</v>
      </c>
      <c r="E399" s="3">
        <f>C399 * (Inputs!$C$8/12)</f>
        <v>72.871123446863635</v>
      </c>
      <c r="F399" s="6">
        <f t="shared" si="28"/>
        <v>367.9637456568592</v>
      </c>
      <c r="G399" s="6">
        <f t="shared" si="29"/>
        <v>11291.416005841324</v>
      </c>
      <c r="H399" s="7">
        <f t="shared" si="31"/>
        <v>440.83486910372284</v>
      </c>
    </row>
    <row r="400" spans="1:8" x14ac:dyDescent="0.35">
      <c r="A400" s="2" t="str">
        <f>Inputs!$A$8</f>
        <v>L7</v>
      </c>
      <c r="B400" s="3">
        <v>33</v>
      </c>
      <c r="C400" s="6">
        <f t="shared" si="30"/>
        <v>11291.416005841324</v>
      </c>
      <c r="D400" s="6">
        <f>-PMT(Inputs!$C$8/12, Inputs!$D$8, Inputs!$B$8)</f>
        <v>440.83486910372284</v>
      </c>
      <c r="E400" s="3">
        <f>C400 * (Inputs!$C$8/12)</f>
        <v>70.571350036508264</v>
      </c>
      <c r="F400" s="6">
        <f t="shared" si="28"/>
        <v>370.26351906721459</v>
      </c>
      <c r="G400" s="6">
        <f t="shared" si="29"/>
        <v>10921.152486774108</v>
      </c>
      <c r="H400" s="7">
        <f t="shared" si="31"/>
        <v>440.83486910372284</v>
      </c>
    </row>
    <row r="401" spans="1:8" x14ac:dyDescent="0.35">
      <c r="A401" s="2" t="str">
        <f>Inputs!$A$8</f>
        <v>L7</v>
      </c>
      <c r="B401" s="3">
        <v>34</v>
      </c>
      <c r="C401" s="6">
        <f t="shared" si="30"/>
        <v>10921.152486774108</v>
      </c>
      <c r="D401" s="6">
        <f>-PMT(Inputs!$C$8/12, Inputs!$D$8, Inputs!$B$8)</f>
        <v>440.83486910372284</v>
      </c>
      <c r="E401" s="3">
        <f>C401 * (Inputs!$C$8/12)</f>
        <v>68.257203042338176</v>
      </c>
      <c r="F401" s="6">
        <f t="shared" si="28"/>
        <v>372.57766606138466</v>
      </c>
      <c r="G401" s="6">
        <f t="shared" si="29"/>
        <v>10548.574820712724</v>
      </c>
      <c r="H401" s="7">
        <f t="shared" si="31"/>
        <v>440.83486910372284</v>
      </c>
    </row>
    <row r="402" spans="1:8" x14ac:dyDescent="0.35">
      <c r="A402" s="2" t="str">
        <f>Inputs!$A$8</f>
        <v>L7</v>
      </c>
      <c r="B402" s="3">
        <v>35</v>
      </c>
      <c r="C402" s="6">
        <f t="shared" si="30"/>
        <v>10548.574820712724</v>
      </c>
      <c r="D402" s="6">
        <f>-PMT(Inputs!$C$8/12, Inputs!$D$8, Inputs!$B$8)</f>
        <v>440.83486910372284</v>
      </c>
      <c r="E402" s="3">
        <f>C402 * (Inputs!$C$8/12)</f>
        <v>65.928592629454513</v>
      </c>
      <c r="F402" s="6">
        <f t="shared" si="28"/>
        <v>374.90627647426834</v>
      </c>
      <c r="G402" s="6">
        <f t="shared" si="29"/>
        <v>10173.668544238455</v>
      </c>
      <c r="H402" s="7">
        <f t="shared" ref="H402:H426" si="32">D400</f>
        <v>440.83486910372284</v>
      </c>
    </row>
    <row r="403" spans="1:8" x14ac:dyDescent="0.35">
      <c r="A403" s="2" t="str">
        <f>Inputs!$A$8</f>
        <v>L7</v>
      </c>
      <c r="B403" s="3">
        <v>36</v>
      </c>
      <c r="C403" s="6">
        <f t="shared" si="30"/>
        <v>10173.668544238455</v>
      </c>
      <c r="D403" s="6">
        <f>-PMT(Inputs!$C$8/12, Inputs!$D$8, Inputs!$B$8)</f>
        <v>440.83486910372284</v>
      </c>
      <c r="E403" s="3">
        <f>C403 * (Inputs!$C$8/12)</f>
        <v>63.58542840149034</v>
      </c>
      <c r="F403" s="6">
        <f t="shared" si="28"/>
        <v>377.2494407022325</v>
      </c>
      <c r="G403" s="6">
        <f t="shared" si="29"/>
        <v>9796.4191035362219</v>
      </c>
      <c r="H403" s="7">
        <f t="shared" si="32"/>
        <v>440.83486910372284</v>
      </c>
    </row>
    <row r="404" spans="1:8" x14ac:dyDescent="0.35">
      <c r="A404" s="2" t="str">
        <f>Inputs!$A$8</f>
        <v>L7</v>
      </c>
      <c r="B404" s="3">
        <v>37</v>
      </c>
      <c r="C404" s="6">
        <f t="shared" si="30"/>
        <v>9796.4191035362219</v>
      </c>
      <c r="D404" s="6">
        <f>-PMT(Inputs!$C$8/12, Inputs!$D$8, Inputs!$B$8)</f>
        <v>440.83486910372284</v>
      </c>
      <c r="E404" s="3">
        <f>C404 * (Inputs!$C$8/12)</f>
        <v>61.227619397101378</v>
      </c>
      <c r="F404" s="6">
        <f t="shared" si="28"/>
        <v>379.60724970662147</v>
      </c>
      <c r="G404" s="6">
        <f t="shared" si="29"/>
        <v>9416.8118538296003</v>
      </c>
      <c r="H404" s="7">
        <f t="shared" si="32"/>
        <v>440.83486910372284</v>
      </c>
    </row>
    <row r="405" spans="1:8" x14ac:dyDescent="0.35">
      <c r="A405" s="2" t="str">
        <f>Inputs!$A$8</f>
        <v>L7</v>
      </c>
      <c r="B405" s="3">
        <v>38</v>
      </c>
      <c r="C405" s="6">
        <f t="shared" si="30"/>
        <v>9416.8118538296003</v>
      </c>
      <c r="D405" s="6">
        <f>-PMT(Inputs!$C$8/12, Inputs!$D$8, Inputs!$B$8)</f>
        <v>440.83486910372284</v>
      </c>
      <c r="E405" s="3">
        <f>C405 * (Inputs!$C$8/12)</f>
        <v>58.855074086434996</v>
      </c>
      <c r="F405" s="6">
        <f t="shared" si="28"/>
        <v>381.97979501728787</v>
      </c>
      <c r="G405" s="6">
        <f t="shared" si="29"/>
        <v>9034.8320588123133</v>
      </c>
      <c r="H405" s="7">
        <f t="shared" si="32"/>
        <v>440.83486910372284</v>
      </c>
    </row>
    <row r="406" spans="1:8" x14ac:dyDescent="0.35">
      <c r="A406" s="2" t="str">
        <f>Inputs!$A$8</f>
        <v>L7</v>
      </c>
      <c r="B406" s="3">
        <v>39</v>
      </c>
      <c r="C406" s="6">
        <f t="shared" si="30"/>
        <v>9034.8320588123133</v>
      </c>
      <c r="D406" s="6">
        <f>-PMT(Inputs!$C$8/12, Inputs!$D$8, Inputs!$B$8)</f>
        <v>440.83486910372284</v>
      </c>
      <c r="E406" s="3">
        <f>C406 * (Inputs!$C$8/12)</f>
        <v>56.467700367576953</v>
      </c>
      <c r="F406" s="6">
        <f t="shared" si="28"/>
        <v>384.36716873614591</v>
      </c>
      <c r="G406" s="6">
        <f t="shared" si="29"/>
        <v>8650.4648900761676</v>
      </c>
      <c r="H406" s="7">
        <f t="shared" si="32"/>
        <v>440.83486910372284</v>
      </c>
    </row>
    <row r="407" spans="1:8" x14ac:dyDescent="0.35">
      <c r="A407" s="2" t="str">
        <f>Inputs!$A$8</f>
        <v>L7</v>
      </c>
      <c r="B407" s="3">
        <v>40</v>
      </c>
      <c r="C407" s="6">
        <f t="shared" si="30"/>
        <v>8650.4648900761676</v>
      </c>
      <c r="D407" s="6">
        <f>-PMT(Inputs!$C$8/12, Inputs!$D$8, Inputs!$B$8)</f>
        <v>440.83486910372284</v>
      </c>
      <c r="E407" s="3">
        <f>C407 * (Inputs!$C$8/12)</f>
        <v>54.065405562976046</v>
      </c>
      <c r="F407" s="6">
        <f t="shared" si="28"/>
        <v>386.76946354074681</v>
      </c>
      <c r="G407" s="6">
        <f t="shared" si="29"/>
        <v>8263.6954265354216</v>
      </c>
      <c r="H407" s="7">
        <f t="shared" si="32"/>
        <v>440.83486910372284</v>
      </c>
    </row>
    <row r="408" spans="1:8" x14ac:dyDescent="0.35">
      <c r="A408" s="2" t="str">
        <f>Inputs!$A$8</f>
        <v>L7</v>
      </c>
      <c r="B408" s="3">
        <v>41</v>
      </c>
      <c r="C408" s="6">
        <f t="shared" si="30"/>
        <v>8263.6954265354216</v>
      </c>
      <c r="D408" s="6">
        <f>-PMT(Inputs!$C$8/12, Inputs!$D$8, Inputs!$B$8)</f>
        <v>440.83486910372284</v>
      </c>
      <c r="E408" s="3">
        <f>C408 * (Inputs!$C$8/12)</f>
        <v>51.648096415846382</v>
      </c>
      <c r="F408" s="6">
        <f t="shared" si="28"/>
        <v>389.18677268787644</v>
      </c>
      <c r="G408" s="6">
        <f t="shared" si="29"/>
        <v>7874.5086538475452</v>
      </c>
      <c r="H408" s="7">
        <f t="shared" si="32"/>
        <v>440.83486910372284</v>
      </c>
    </row>
    <row r="409" spans="1:8" x14ac:dyDescent="0.35">
      <c r="A409" s="2" t="str">
        <f>Inputs!$A$8</f>
        <v>L7</v>
      </c>
      <c r="B409" s="3">
        <v>42</v>
      </c>
      <c r="C409" s="6">
        <f t="shared" si="30"/>
        <v>7874.5086538475452</v>
      </c>
      <c r="D409" s="6">
        <f>-PMT(Inputs!$C$8/12, Inputs!$D$8, Inputs!$B$8)</f>
        <v>440.83486910372284</v>
      </c>
      <c r="E409" s="3">
        <f>C409 * (Inputs!$C$8/12)</f>
        <v>49.215679086547155</v>
      </c>
      <c r="F409" s="6">
        <f t="shared" si="28"/>
        <v>391.6191900171757</v>
      </c>
      <c r="G409" s="6">
        <f t="shared" si="29"/>
        <v>7482.88946383037</v>
      </c>
      <c r="H409" s="7">
        <f t="shared" si="32"/>
        <v>440.83486910372284</v>
      </c>
    </row>
    <row r="410" spans="1:8" x14ac:dyDescent="0.35">
      <c r="A410" s="2" t="str">
        <f>Inputs!$A$8</f>
        <v>L7</v>
      </c>
      <c r="B410" s="3">
        <v>43</v>
      </c>
      <c r="C410" s="6">
        <f t="shared" si="30"/>
        <v>7482.88946383037</v>
      </c>
      <c r="D410" s="6">
        <f>-PMT(Inputs!$C$8/12, Inputs!$D$8, Inputs!$B$8)</f>
        <v>440.83486910372284</v>
      </c>
      <c r="E410" s="3">
        <f>C410 * (Inputs!$C$8/12)</f>
        <v>46.768059148939805</v>
      </c>
      <c r="F410" s="6">
        <f t="shared" si="28"/>
        <v>394.06680995478303</v>
      </c>
      <c r="G410" s="6">
        <f t="shared" si="29"/>
        <v>7088.8226538755871</v>
      </c>
      <c r="H410" s="7">
        <f t="shared" si="32"/>
        <v>440.83486910372284</v>
      </c>
    </row>
    <row r="411" spans="1:8" x14ac:dyDescent="0.35">
      <c r="A411" s="2" t="str">
        <f>Inputs!$A$8</f>
        <v>L7</v>
      </c>
      <c r="B411" s="3">
        <v>44</v>
      </c>
      <c r="C411" s="6">
        <f t="shared" si="30"/>
        <v>7088.8226538755871</v>
      </c>
      <c r="D411" s="6">
        <f>-PMT(Inputs!$C$8/12, Inputs!$D$8, Inputs!$B$8)</f>
        <v>440.83486910372284</v>
      </c>
      <c r="E411" s="3">
        <f>C411 * (Inputs!$C$8/12)</f>
        <v>44.305141586722414</v>
      </c>
      <c r="F411" s="6">
        <f t="shared" si="28"/>
        <v>396.52972751700042</v>
      </c>
      <c r="G411" s="6">
        <f t="shared" si="29"/>
        <v>6692.2929263585866</v>
      </c>
      <c r="H411" s="7">
        <f t="shared" si="32"/>
        <v>440.83486910372284</v>
      </c>
    </row>
    <row r="412" spans="1:8" x14ac:dyDescent="0.35">
      <c r="A412" s="2" t="str">
        <f>Inputs!$A$8</f>
        <v>L7</v>
      </c>
      <c r="B412" s="3">
        <v>45</v>
      </c>
      <c r="C412" s="6">
        <f t="shared" si="30"/>
        <v>6692.2929263585866</v>
      </c>
      <c r="D412" s="6">
        <f>-PMT(Inputs!$C$8/12, Inputs!$D$8, Inputs!$B$8)</f>
        <v>440.83486910372284</v>
      </c>
      <c r="E412" s="3">
        <f>C412 * (Inputs!$C$8/12)</f>
        <v>41.826830789741166</v>
      </c>
      <c r="F412" s="6">
        <f t="shared" si="28"/>
        <v>399.00803831398167</v>
      </c>
      <c r="G412" s="6">
        <f t="shared" si="29"/>
        <v>6293.2848880446045</v>
      </c>
      <c r="H412" s="7">
        <f t="shared" si="32"/>
        <v>440.83486910372284</v>
      </c>
    </row>
    <row r="413" spans="1:8" x14ac:dyDescent="0.35">
      <c r="A413" s="2" t="str">
        <f>Inputs!$A$8</f>
        <v>L7</v>
      </c>
      <c r="B413" s="3">
        <v>46</v>
      </c>
      <c r="C413" s="6">
        <f t="shared" si="30"/>
        <v>6293.2848880446045</v>
      </c>
      <c r="D413" s="6">
        <f>-PMT(Inputs!$C$8/12, Inputs!$D$8, Inputs!$B$8)</f>
        <v>440.83486910372284</v>
      </c>
      <c r="E413" s="3">
        <f>C413 * (Inputs!$C$8/12)</f>
        <v>39.333030550278778</v>
      </c>
      <c r="F413" s="6">
        <f t="shared" si="28"/>
        <v>401.50183855344403</v>
      </c>
      <c r="G413" s="6">
        <f t="shared" si="29"/>
        <v>5891.7830494911605</v>
      </c>
      <c r="H413" s="7">
        <f t="shared" si="32"/>
        <v>440.83486910372284</v>
      </c>
    </row>
    <row r="414" spans="1:8" x14ac:dyDescent="0.35">
      <c r="A414" s="2" t="str">
        <f>Inputs!$A$8</f>
        <v>L7</v>
      </c>
      <c r="B414" s="3">
        <v>47</v>
      </c>
      <c r="C414" s="6">
        <f t="shared" si="30"/>
        <v>5891.7830494911605</v>
      </c>
      <c r="D414" s="6">
        <f>-PMT(Inputs!$C$8/12, Inputs!$D$8, Inputs!$B$8)</f>
        <v>440.83486910372284</v>
      </c>
      <c r="E414" s="3">
        <f>C414 * (Inputs!$C$8/12)</f>
        <v>36.823644059319747</v>
      </c>
      <c r="F414" s="6">
        <f t="shared" si="28"/>
        <v>404.01122504440309</v>
      </c>
      <c r="G414" s="6">
        <f t="shared" si="29"/>
        <v>5487.7718244467578</v>
      </c>
      <c r="H414" s="7">
        <f t="shared" si="32"/>
        <v>440.83486910372284</v>
      </c>
    </row>
    <row r="415" spans="1:8" x14ac:dyDescent="0.35">
      <c r="A415" s="2" t="str">
        <f>Inputs!$A$8</f>
        <v>L7</v>
      </c>
      <c r="B415" s="3">
        <v>48</v>
      </c>
      <c r="C415" s="6">
        <f t="shared" si="30"/>
        <v>5487.7718244467578</v>
      </c>
      <c r="D415" s="6">
        <f>-PMT(Inputs!$C$8/12, Inputs!$D$8, Inputs!$B$8)</f>
        <v>440.83486910372284</v>
      </c>
      <c r="E415" s="3">
        <f>C415 * (Inputs!$C$8/12)</f>
        <v>34.298573902792235</v>
      </c>
      <c r="F415" s="6">
        <f t="shared" si="28"/>
        <v>406.53629520093062</v>
      </c>
      <c r="G415" s="6">
        <f t="shared" si="29"/>
        <v>5081.2355292458269</v>
      </c>
      <c r="H415" s="7">
        <f t="shared" si="32"/>
        <v>440.83486910372284</v>
      </c>
    </row>
    <row r="416" spans="1:8" x14ac:dyDescent="0.35">
      <c r="A416" s="2" t="str">
        <f>Inputs!$A$8</f>
        <v>L7</v>
      </c>
      <c r="B416" s="3">
        <v>49</v>
      </c>
      <c r="C416" s="6">
        <f t="shared" si="30"/>
        <v>5081.2355292458269</v>
      </c>
      <c r="D416" s="6">
        <f>-PMT(Inputs!$C$8/12, Inputs!$D$8, Inputs!$B$8)</f>
        <v>440.83486910372284</v>
      </c>
      <c r="E416" s="3">
        <f>C416 * (Inputs!$C$8/12)</f>
        <v>31.757722057786417</v>
      </c>
      <c r="F416" s="6">
        <f t="shared" si="28"/>
        <v>409.07714704593644</v>
      </c>
      <c r="G416" s="6">
        <f t="shared" si="29"/>
        <v>4672.1583821998902</v>
      </c>
      <c r="H416" s="7">
        <f t="shared" si="32"/>
        <v>440.83486910372284</v>
      </c>
    </row>
    <row r="417" spans="1:8" x14ac:dyDescent="0.35">
      <c r="A417" s="2" t="str">
        <f>Inputs!$A$8</f>
        <v>L7</v>
      </c>
      <c r="B417" s="3">
        <v>50</v>
      </c>
      <c r="C417" s="6">
        <f t="shared" si="30"/>
        <v>4672.1583821998902</v>
      </c>
      <c r="D417" s="6">
        <f>-PMT(Inputs!$C$8/12, Inputs!$D$8, Inputs!$B$8)</f>
        <v>440.83486910372284</v>
      </c>
      <c r="E417" s="3">
        <f>C417 * (Inputs!$C$8/12)</f>
        <v>29.200989888749312</v>
      </c>
      <c r="F417" s="6">
        <f t="shared" si="28"/>
        <v>411.63387921497355</v>
      </c>
      <c r="G417" s="6">
        <f t="shared" si="29"/>
        <v>4260.5245029849166</v>
      </c>
      <c r="H417" s="7">
        <f t="shared" si="32"/>
        <v>440.83486910372284</v>
      </c>
    </row>
    <row r="418" spans="1:8" x14ac:dyDescent="0.35">
      <c r="A418" s="2" t="str">
        <f>Inputs!$A$8</f>
        <v>L7</v>
      </c>
      <c r="B418" s="3">
        <v>51</v>
      </c>
      <c r="C418" s="6">
        <f t="shared" si="30"/>
        <v>4260.5245029849166</v>
      </c>
      <c r="D418" s="6">
        <f>-PMT(Inputs!$C$8/12, Inputs!$D$8, Inputs!$B$8)</f>
        <v>440.83486910372284</v>
      </c>
      <c r="E418" s="3">
        <f>C418 * (Inputs!$C$8/12)</f>
        <v>26.628278143655727</v>
      </c>
      <c r="F418" s="6">
        <f t="shared" si="28"/>
        <v>414.2065909600671</v>
      </c>
      <c r="G418" s="6">
        <f t="shared" si="29"/>
        <v>3846.3179120248496</v>
      </c>
      <c r="H418" s="7">
        <f t="shared" si="32"/>
        <v>440.83486910372284</v>
      </c>
    </row>
    <row r="419" spans="1:8" x14ac:dyDescent="0.35">
      <c r="A419" s="2" t="str">
        <f>Inputs!$A$8</f>
        <v>L7</v>
      </c>
      <c r="B419" s="3">
        <v>52</v>
      </c>
      <c r="C419" s="6">
        <f t="shared" si="30"/>
        <v>3846.3179120248496</v>
      </c>
      <c r="D419" s="6">
        <f>-PMT(Inputs!$C$8/12, Inputs!$D$8, Inputs!$B$8)</f>
        <v>440.83486910372284</v>
      </c>
      <c r="E419" s="3">
        <f>C419 * (Inputs!$C$8/12)</f>
        <v>24.039486950155307</v>
      </c>
      <c r="F419" s="6">
        <f t="shared" si="28"/>
        <v>416.79538215356752</v>
      </c>
      <c r="G419" s="6">
        <f t="shared" si="29"/>
        <v>3429.5225298712821</v>
      </c>
      <c r="H419" s="7">
        <f t="shared" si="32"/>
        <v>440.83486910372284</v>
      </c>
    </row>
    <row r="420" spans="1:8" x14ac:dyDescent="0.35">
      <c r="A420" s="2" t="str">
        <f>Inputs!$A$8</f>
        <v>L7</v>
      </c>
      <c r="B420" s="3">
        <v>53</v>
      </c>
      <c r="C420" s="6">
        <f t="shared" si="30"/>
        <v>3429.5225298712821</v>
      </c>
      <c r="D420" s="6">
        <f>-PMT(Inputs!$C$8/12, Inputs!$D$8, Inputs!$B$8)</f>
        <v>440.83486910372284</v>
      </c>
      <c r="E420" s="3">
        <f>C420 * (Inputs!$C$8/12)</f>
        <v>21.434515811695512</v>
      </c>
      <c r="F420" s="6">
        <f t="shared" si="28"/>
        <v>419.40035329202732</v>
      </c>
      <c r="G420" s="6">
        <f t="shared" si="29"/>
        <v>3010.1221765792548</v>
      </c>
      <c r="H420" s="7">
        <f t="shared" si="32"/>
        <v>440.83486910372284</v>
      </c>
    </row>
    <row r="421" spans="1:8" x14ac:dyDescent="0.35">
      <c r="A421" s="2" t="str">
        <f>Inputs!$A$8</f>
        <v>L7</v>
      </c>
      <c r="B421" s="3">
        <v>54</v>
      </c>
      <c r="C421" s="6">
        <f t="shared" si="30"/>
        <v>3010.1221765792548</v>
      </c>
      <c r="D421" s="6">
        <f>-PMT(Inputs!$C$8/12, Inputs!$D$8, Inputs!$B$8)</f>
        <v>440.83486910372284</v>
      </c>
      <c r="E421" s="3">
        <f>C421 * (Inputs!$C$8/12)</f>
        <v>18.813263603620342</v>
      </c>
      <c r="F421" s="6">
        <f t="shared" si="28"/>
        <v>422.02160550010251</v>
      </c>
      <c r="G421" s="6">
        <f t="shared" si="29"/>
        <v>2588.1005710791524</v>
      </c>
      <c r="H421" s="7">
        <f t="shared" si="32"/>
        <v>440.83486910372284</v>
      </c>
    </row>
    <row r="422" spans="1:8" x14ac:dyDescent="0.35">
      <c r="A422" s="2" t="str">
        <f>Inputs!$A$8</f>
        <v>L7</v>
      </c>
      <c r="B422" s="3">
        <v>55</v>
      </c>
      <c r="C422" s="6">
        <f t="shared" si="30"/>
        <v>2588.1005710791524</v>
      </c>
      <c r="D422" s="6">
        <f>-PMT(Inputs!$C$8/12, Inputs!$D$8, Inputs!$B$8)</f>
        <v>440.83486910372284</v>
      </c>
      <c r="E422" s="3">
        <f>C422 * (Inputs!$C$8/12)</f>
        <v>16.175628569244701</v>
      </c>
      <c r="F422" s="6">
        <f t="shared" si="28"/>
        <v>424.65924053447816</v>
      </c>
      <c r="G422" s="6">
        <f t="shared" si="29"/>
        <v>2163.4413305446742</v>
      </c>
      <c r="H422" s="7">
        <f t="shared" si="32"/>
        <v>440.83486910372284</v>
      </c>
    </row>
    <row r="423" spans="1:8" x14ac:dyDescent="0.35">
      <c r="A423" s="2" t="str">
        <f>Inputs!$A$8</f>
        <v>L7</v>
      </c>
      <c r="B423" s="3">
        <v>56</v>
      </c>
      <c r="C423" s="6">
        <f t="shared" si="30"/>
        <v>2163.4413305446742</v>
      </c>
      <c r="D423" s="6">
        <f>-PMT(Inputs!$C$8/12, Inputs!$D$8, Inputs!$B$8)</f>
        <v>440.83486910372284</v>
      </c>
      <c r="E423" s="3">
        <f>C423 * (Inputs!$C$8/12)</f>
        <v>13.521508315904212</v>
      </c>
      <c r="F423" s="6">
        <f t="shared" si="28"/>
        <v>427.31336078781862</v>
      </c>
      <c r="G423" s="6">
        <f t="shared" si="29"/>
        <v>1736.1279697568557</v>
      </c>
      <c r="H423" s="7">
        <f t="shared" si="32"/>
        <v>440.83486910372284</v>
      </c>
    </row>
    <row r="424" spans="1:8" x14ac:dyDescent="0.35">
      <c r="A424" s="2" t="str">
        <f>Inputs!$A$8</f>
        <v>L7</v>
      </c>
      <c r="B424" s="3">
        <v>57</v>
      </c>
      <c r="C424" s="6">
        <f t="shared" si="30"/>
        <v>1736.1279697568557</v>
      </c>
      <c r="D424" s="6">
        <f>-PMT(Inputs!$C$8/12, Inputs!$D$8, Inputs!$B$8)</f>
        <v>440.83486910372284</v>
      </c>
      <c r="E424" s="3">
        <f>C424 * (Inputs!$C$8/12)</f>
        <v>10.850799810980346</v>
      </c>
      <c r="F424" s="6">
        <f t="shared" si="28"/>
        <v>429.9840692927425</v>
      </c>
      <c r="G424" s="6">
        <f t="shared" si="29"/>
        <v>1306.1439004641131</v>
      </c>
      <c r="H424" s="7">
        <f t="shared" si="32"/>
        <v>440.83486910372284</v>
      </c>
    </row>
    <row r="425" spans="1:8" x14ac:dyDescent="0.35">
      <c r="A425" s="2" t="str">
        <f>Inputs!$A$8</f>
        <v>L7</v>
      </c>
      <c r="B425" s="3">
        <v>58</v>
      </c>
      <c r="C425" s="6">
        <f t="shared" si="30"/>
        <v>1306.1439004641131</v>
      </c>
      <c r="D425" s="6">
        <f>-PMT(Inputs!$C$8/12, Inputs!$D$8, Inputs!$B$8)</f>
        <v>440.83486910372284</v>
      </c>
      <c r="E425" s="3">
        <f>C425 * (Inputs!$C$8/12)</f>
        <v>8.1633993779007064</v>
      </c>
      <c r="F425" s="6">
        <f t="shared" si="28"/>
        <v>432.67146972582213</v>
      </c>
      <c r="G425" s="6">
        <f t="shared" si="29"/>
        <v>873.472430738291</v>
      </c>
      <c r="H425" s="7">
        <f t="shared" si="32"/>
        <v>440.83486910372284</v>
      </c>
    </row>
    <row r="426" spans="1:8" x14ac:dyDescent="0.35">
      <c r="A426" s="2" t="str">
        <f>Inputs!$A$8</f>
        <v>L7</v>
      </c>
      <c r="B426" s="3">
        <v>59</v>
      </c>
      <c r="C426" s="6">
        <f t="shared" si="30"/>
        <v>873.472430738291</v>
      </c>
      <c r="D426" s="6">
        <f>-PMT(Inputs!$C$8/12, Inputs!$D$8, Inputs!$B$8)</f>
        <v>440.83486910372284</v>
      </c>
      <c r="E426" s="3">
        <f>C426 * (Inputs!$C$8/12)</f>
        <v>5.4592026921143182</v>
      </c>
      <c r="F426" s="6">
        <f t="shared" si="28"/>
        <v>435.37566641160851</v>
      </c>
      <c r="G426" s="6">
        <f t="shared" si="29"/>
        <v>438.09676432668249</v>
      </c>
      <c r="H426" s="7">
        <f t="shared" si="32"/>
        <v>440.83486910372284</v>
      </c>
    </row>
    <row r="427" spans="1:8" x14ac:dyDescent="0.35">
      <c r="A427" s="2" t="str">
        <f>Inputs!$A$8</f>
        <v>L7</v>
      </c>
      <c r="B427" s="4">
        <v>60</v>
      </c>
      <c r="C427" s="6">
        <f t="shared" si="30"/>
        <v>438.09676432668249</v>
      </c>
      <c r="D427" s="6">
        <f>-PMT(Inputs!$C$8/12, Inputs!$D$8, Inputs!$B$8)</f>
        <v>440.83486910372284</v>
      </c>
      <c r="E427" s="3">
        <f>C427 * (Inputs!$C$8/12)</f>
        <v>2.7381047770417655</v>
      </c>
      <c r="F427" s="6">
        <f t="shared" si="28"/>
        <v>438.09676432668107</v>
      </c>
      <c r="G427" s="6">
        <f>C427 - F427</f>
        <v>1.4210854715202004E-12</v>
      </c>
      <c r="H427" s="8">
        <f>D427</f>
        <v>440.83486910372284</v>
      </c>
    </row>
    <row r="429" spans="1:8" x14ac:dyDescent="0.35">
      <c r="A429" s="2" t="str">
        <f>Inputs!$A$9</f>
        <v>L8</v>
      </c>
      <c r="B429" s="3">
        <v>1</v>
      </c>
      <c r="C429" s="3">
        <f>Inputs!$B$9</f>
        <v>50000</v>
      </c>
      <c r="D429" s="6">
        <f>-PMT(Inputs!$C$9/12, Inputs!$D$9, Inputs!$B$9)</f>
        <v>1025.8265663525626</v>
      </c>
      <c r="E429" s="3">
        <f>C429 * (Inputs!$C$9/12)</f>
        <v>354.16666666666669</v>
      </c>
      <c r="F429" s="6">
        <f>D429 - E429</f>
        <v>671.65989968589588</v>
      </c>
      <c r="G429" s="6">
        <f>C429 - F429</f>
        <v>49328.340100314104</v>
      </c>
      <c r="H429" s="7">
        <f>D429</f>
        <v>1025.8265663525626</v>
      </c>
    </row>
    <row r="430" spans="1:8" x14ac:dyDescent="0.35">
      <c r="A430" s="2" t="str">
        <f>Inputs!$A$9</f>
        <v>L8</v>
      </c>
      <c r="B430" s="3">
        <v>2</v>
      </c>
      <c r="C430" s="6">
        <f>G429</f>
        <v>49328.340100314104</v>
      </c>
      <c r="D430" s="6">
        <f>-PMT(Inputs!$C$9/12, Inputs!$D$9, Inputs!$B$9)</f>
        <v>1025.8265663525626</v>
      </c>
      <c r="E430" s="3">
        <f>C430 * (Inputs!$C$9/12)</f>
        <v>349.40907571055828</v>
      </c>
      <c r="F430" s="6">
        <f t="shared" ref="F430:F488" si="33">D430 - E430</f>
        <v>676.4174906420044</v>
      </c>
      <c r="G430" s="6">
        <f t="shared" ref="G430:G487" si="34">C430 - F430</f>
        <v>48651.922609672103</v>
      </c>
      <c r="H430" s="7">
        <f>D430</f>
        <v>1025.8265663525626</v>
      </c>
    </row>
    <row r="431" spans="1:8" x14ac:dyDescent="0.35">
      <c r="A431" s="2" t="str">
        <f>Inputs!$A$9</f>
        <v>L8</v>
      </c>
      <c r="B431" s="3">
        <v>3</v>
      </c>
      <c r="C431" s="6">
        <f t="shared" ref="C431:C488" si="35">G430</f>
        <v>48651.922609672103</v>
      </c>
      <c r="D431" s="6">
        <f>-PMT(Inputs!$C$9/12, Inputs!$D$9, Inputs!$B$9)</f>
        <v>1025.8265663525626</v>
      </c>
      <c r="E431" s="3">
        <f>C431 * (Inputs!$C$9/12)</f>
        <v>344.61778515184409</v>
      </c>
      <c r="F431" s="6">
        <f t="shared" si="33"/>
        <v>681.20878120071848</v>
      </c>
      <c r="G431" s="6">
        <f t="shared" si="34"/>
        <v>47970.713828471387</v>
      </c>
      <c r="H431" s="7">
        <f t="shared" ref="H431:H462" si="36">D429</f>
        <v>1025.8265663525626</v>
      </c>
    </row>
    <row r="432" spans="1:8" x14ac:dyDescent="0.35">
      <c r="A432" s="2" t="str">
        <f>Inputs!$A$9</f>
        <v>L8</v>
      </c>
      <c r="B432" s="3">
        <v>4</v>
      </c>
      <c r="C432" s="6">
        <f t="shared" si="35"/>
        <v>47970.713828471387</v>
      </c>
      <c r="D432" s="6">
        <f>-PMT(Inputs!$C$9/12, Inputs!$D$9, Inputs!$B$9)</f>
        <v>1025.8265663525626</v>
      </c>
      <c r="E432" s="3">
        <f>C432 * (Inputs!$C$9/12)</f>
        <v>339.79255628500567</v>
      </c>
      <c r="F432" s="6">
        <f t="shared" si="33"/>
        <v>686.03401006755689</v>
      </c>
      <c r="G432" s="6">
        <f t="shared" si="34"/>
        <v>47284.679818403827</v>
      </c>
      <c r="H432" s="7">
        <f t="shared" si="36"/>
        <v>1025.8265663525626</v>
      </c>
    </row>
    <row r="433" spans="1:8" x14ac:dyDescent="0.35">
      <c r="A433" s="2" t="str">
        <f>Inputs!$A$9</f>
        <v>L8</v>
      </c>
      <c r="B433" s="3">
        <v>5</v>
      </c>
      <c r="C433" s="6">
        <f t="shared" si="35"/>
        <v>47284.679818403827</v>
      </c>
      <c r="D433" s="6">
        <f>-PMT(Inputs!$C$9/12, Inputs!$D$9, Inputs!$B$9)</f>
        <v>1025.8265663525626</v>
      </c>
      <c r="E433" s="3">
        <f>C433 * (Inputs!$C$9/12)</f>
        <v>334.93314871369381</v>
      </c>
      <c r="F433" s="6">
        <f t="shared" si="33"/>
        <v>690.89341763886887</v>
      </c>
      <c r="G433" s="6">
        <f t="shared" si="34"/>
        <v>46593.786400764955</v>
      </c>
      <c r="H433" s="7">
        <f t="shared" si="36"/>
        <v>1025.8265663525626</v>
      </c>
    </row>
    <row r="434" spans="1:8" x14ac:dyDescent="0.35">
      <c r="A434" s="2" t="str">
        <f>Inputs!$A$9</f>
        <v>L8</v>
      </c>
      <c r="B434" s="3">
        <v>6</v>
      </c>
      <c r="C434" s="6">
        <f t="shared" si="35"/>
        <v>46593.786400764955</v>
      </c>
      <c r="D434" s="6">
        <f>-PMT(Inputs!$C$9/12, Inputs!$D$9, Inputs!$B$9)</f>
        <v>1025.8265663525626</v>
      </c>
      <c r="E434" s="3">
        <f>C434 * (Inputs!$C$9/12)</f>
        <v>330.03932033875179</v>
      </c>
      <c r="F434" s="6">
        <f t="shared" si="33"/>
        <v>695.78724601381077</v>
      </c>
      <c r="G434" s="6">
        <f t="shared" si="34"/>
        <v>45897.999154751145</v>
      </c>
      <c r="H434" s="7">
        <f t="shared" si="36"/>
        <v>1025.8265663525626</v>
      </c>
    </row>
    <row r="435" spans="1:8" x14ac:dyDescent="0.35">
      <c r="A435" s="2" t="str">
        <f>Inputs!$A$9</f>
        <v>L8</v>
      </c>
      <c r="B435" s="3">
        <v>7</v>
      </c>
      <c r="C435" s="6">
        <f t="shared" si="35"/>
        <v>45897.999154751145</v>
      </c>
      <c r="D435" s="6">
        <f>-PMT(Inputs!$C$9/12, Inputs!$D$9, Inputs!$B$9)</f>
        <v>1025.8265663525626</v>
      </c>
      <c r="E435" s="3">
        <f>C435 * (Inputs!$C$9/12)</f>
        <v>325.110827346154</v>
      </c>
      <c r="F435" s="6">
        <f t="shared" si="33"/>
        <v>700.71573900640863</v>
      </c>
      <c r="G435" s="6">
        <f t="shared" si="34"/>
        <v>45197.283415744736</v>
      </c>
      <c r="H435" s="7">
        <f t="shared" si="36"/>
        <v>1025.8265663525626</v>
      </c>
    </row>
    <row r="436" spans="1:8" x14ac:dyDescent="0.35">
      <c r="A436" s="2" t="str">
        <f>Inputs!$A$9</f>
        <v>L8</v>
      </c>
      <c r="B436" s="3">
        <v>8</v>
      </c>
      <c r="C436" s="6">
        <f t="shared" si="35"/>
        <v>45197.283415744736</v>
      </c>
      <c r="D436" s="6">
        <f>-PMT(Inputs!$C$9/12, Inputs!$D$9, Inputs!$B$9)</f>
        <v>1025.8265663525626</v>
      </c>
      <c r="E436" s="3">
        <f>C436 * (Inputs!$C$9/12)</f>
        <v>320.14742419485856</v>
      </c>
      <c r="F436" s="6">
        <f t="shared" si="33"/>
        <v>705.67914215770406</v>
      </c>
      <c r="G436" s="6">
        <f t="shared" si="34"/>
        <v>44491.604273587029</v>
      </c>
      <c r="H436" s="7">
        <f t="shared" si="36"/>
        <v>1025.8265663525626</v>
      </c>
    </row>
    <row r="437" spans="1:8" x14ac:dyDescent="0.35">
      <c r="A437" s="2" t="str">
        <f>Inputs!$A$9</f>
        <v>L8</v>
      </c>
      <c r="B437" s="3">
        <v>9</v>
      </c>
      <c r="C437" s="6">
        <f t="shared" si="35"/>
        <v>44491.604273587029</v>
      </c>
      <c r="D437" s="6">
        <f>-PMT(Inputs!$C$9/12, Inputs!$D$9, Inputs!$B$9)</f>
        <v>1025.8265663525626</v>
      </c>
      <c r="E437" s="3">
        <f>C437 * (Inputs!$C$9/12)</f>
        <v>315.14886360457479</v>
      </c>
      <c r="F437" s="6">
        <f t="shared" si="33"/>
        <v>710.67770274798784</v>
      </c>
      <c r="G437" s="6">
        <f t="shared" si="34"/>
        <v>43780.926570839038</v>
      </c>
      <c r="H437" s="7">
        <f t="shared" si="36"/>
        <v>1025.8265663525626</v>
      </c>
    </row>
    <row r="438" spans="1:8" x14ac:dyDescent="0.35">
      <c r="A438" s="2" t="str">
        <f>Inputs!$A$9</f>
        <v>L8</v>
      </c>
      <c r="B438" s="3">
        <v>10</v>
      </c>
      <c r="C438" s="6">
        <f t="shared" si="35"/>
        <v>43780.926570839038</v>
      </c>
      <c r="D438" s="6">
        <f>-PMT(Inputs!$C$9/12, Inputs!$D$9, Inputs!$B$9)</f>
        <v>1025.8265663525626</v>
      </c>
      <c r="E438" s="3">
        <f>C438 * (Inputs!$C$9/12)</f>
        <v>310.11489654344319</v>
      </c>
      <c r="F438" s="6">
        <f t="shared" si="33"/>
        <v>715.71166980911948</v>
      </c>
      <c r="G438" s="6">
        <f t="shared" si="34"/>
        <v>43065.214901029918</v>
      </c>
      <c r="H438" s="7">
        <f t="shared" si="36"/>
        <v>1025.8265663525626</v>
      </c>
    </row>
    <row r="439" spans="1:8" x14ac:dyDescent="0.35">
      <c r="A439" s="2" t="str">
        <f>Inputs!$A$9</f>
        <v>L8</v>
      </c>
      <c r="B439" s="3">
        <v>11</v>
      </c>
      <c r="C439" s="6">
        <f t="shared" si="35"/>
        <v>43065.214901029918</v>
      </c>
      <c r="D439" s="6">
        <f>-PMT(Inputs!$C$9/12, Inputs!$D$9, Inputs!$B$9)</f>
        <v>1025.8265663525626</v>
      </c>
      <c r="E439" s="3">
        <f>C439 * (Inputs!$C$9/12)</f>
        <v>305.04527221562859</v>
      </c>
      <c r="F439" s="6">
        <f t="shared" si="33"/>
        <v>720.78129413693409</v>
      </c>
      <c r="G439" s="6">
        <f t="shared" si="34"/>
        <v>42344.433606892984</v>
      </c>
      <c r="H439" s="7">
        <f t="shared" si="36"/>
        <v>1025.8265663525626</v>
      </c>
    </row>
    <row r="440" spans="1:8" x14ac:dyDescent="0.35">
      <c r="A440" s="2" t="str">
        <f>Inputs!$A$9</f>
        <v>L8</v>
      </c>
      <c r="B440" s="3">
        <v>12</v>
      </c>
      <c r="C440" s="6">
        <f t="shared" si="35"/>
        <v>42344.433606892984</v>
      </c>
      <c r="D440" s="6">
        <f>-PMT(Inputs!$C$9/12, Inputs!$D$9, Inputs!$B$9)</f>
        <v>1025.8265663525626</v>
      </c>
      <c r="E440" s="3">
        <f>C440 * (Inputs!$C$9/12)</f>
        <v>299.93973804882535</v>
      </c>
      <c r="F440" s="6">
        <f t="shared" si="33"/>
        <v>725.88682830373727</v>
      </c>
      <c r="G440" s="6">
        <f t="shared" si="34"/>
        <v>41618.546778589247</v>
      </c>
      <c r="H440" s="7">
        <f t="shared" si="36"/>
        <v>1025.8265663525626</v>
      </c>
    </row>
    <row r="441" spans="1:8" x14ac:dyDescent="0.35">
      <c r="A441" s="2" t="str">
        <f>Inputs!$A$9</f>
        <v>L8</v>
      </c>
      <c r="B441" s="3">
        <v>13</v>
      </c>
      <c r="C441" s="6">
        <f t="shared" si="35"/>
        <v>41618.546778589247</v>
      </c>
      <c r="D441" s="6">
        <f>-PMT(Inputs!$C$9/12, Inputs!$D$9, Inputs!$B$9)</f>
        <v>1025.8265663525626</v>
      </c>
      <c r="E441" s="3">
        <f>C441 * (Inputs!$C$9/12)</f>
        <v>294.79803968167386</v>
      </c>
      <c r="F441" s="6">
        <f t="shared" si="33"/>
        <v>731.02852667088882</v>
      </c>
      <c r="G441" s="6">
        <f t="shared" si="34"/>
        <v>40887.518251918358</v>
      </c>
      <c r="H441" s="7">
        <f t="shared" si="36"/>
        <v>1025.8265663525626</v>
      </c>
    </row>
    <row r="442" spans="1:8" x14ac:dyDescent="0.35">
      <c r="A442" s="2" t="str">
        <f>Inputs!$A$9</f>
        <v>L8</v>
      </c>
      <c r="B442" s="3">
        <v>14</v>
      </c>
      <c r="C442" s="6">
        <f t="shared" si="35"/>
        <v>40887.518251918358</v>
      </c>
      <c r="D442" s="6">
        <f>-PMT(Inputs!$C$9/12, Inputs!$D$9, Inputs!$B$9)</f>
        <v>1025.8265663525626</v>
      </c>
      <c r="E442" s="3">
        <f>C442 * (Inputs!$C$9/12)</f>
        <v>289.61992095108837</v>
      </c>
      <c r="F442" s="6">
        <f t="shared" si="33"/>
        <v>736.20664540147425</v>
      </c>
      <c r="G442" s="6">
        <f t="shared" si="34"/>
        <v>40151.311606516887</v>
      </c>
      <c r="H442" s="7">
        <f t="shared" si="36"/>
        <v>1025.8265663525626</v>
      </c>
    </row>
    <row r="443" spans="1:8" x14ac:dyDescent="0.35">
      <c r="A443" s="2" t="str">
        <f>Inputs!$A$9</f>
        <v>L8</v>
      </c>
      <c r="B443" s="3">
        <v>15</v>
      </c>
      <c r="C443" s="6">
        <f t="shared" si="35"/>
        <v>40151.311606516887</v>
      </c>
      <c r="D443" s="6">
        <f>-PMT(Inputs!$C$9/12, Inputs!$D$9, Inputs!$B$9)</f>
        <v>1025.8265663525626</v>
      </c>
      <c r="E443" s="3">
        <f>C443 * (Inputs!$C$9/12)</f>
        <v>284.40512387949462</v>
      </c>
      <c r="F443" s="6">
        <f t="shared" si="33"/>
        <v>741.42144247306805</v>
      </c>
      <c r="G443" s="6">
        <f t="shared" si="34"/>
        <v>39409.89016404382</v>
      </c>
      <c r="H443" s="7">
        <f t="shared" si="36"/>
        <v>1025.8265663525626</v>
      </c>
    </row>
    <row r="444" spans="1:8" x14ac:dyDescent="0.35">
      <c r="A444" s="2" t="str">
        <f>Inputs!$A$9</f>
        <v>L8</v>
      </c>
      <c r="B444" s="3">
        <v>16</v>
      </c>
      <c r="C444" s="6">
        <f t="shared" si="35"/>
        <v>39409.89016404382</v>
      </c>
      <c r="D444" s="6">
        <f>-PMT(Inputs!$C$9/12, Inputs!$D$9, Inputs!$B$9)</f>
        <v>1025.8265663525626</v>
      </c>
      <c r="E444" s="3">
        <f>C444 * (Inputs!$C$9/12)</f>
        <v>279.15338866197709</v>
      </c>
      <c r="F444" s="6">
        <f t="shared" si="33"/>
        <v>746.67317769058559</v>
      </c>
      <c r="G444" s="6">
        <f t="shared" si="34"/>
        <v>38663.216986353233</v>
      </c>
      <c r="H444" s="7">
        <f t="shared" si="36"/>
        <v>1025.8265663525626</v>
      </c>
    </row>
    <row r="445" spans="1:8" x14ac:dyDescent="0.35">
      <c r="A445" s="2" t="str">
        <f>Inputs!$A$9</f>
        <v>L8</v>
      </c>
      <c r="B445" s="3">
        <v>17</v>
      </c>
      <c r="C445" s="6">
        <f t="shared" si="35"/>
        <v>38663.216986353233</v>
      </c>
      <c r="D445" s="6">
        <f>-PMT(Inputs!$C$9/12, Inputs!$D$9, Inputs!$B$9)</f>
        <v>1025.8265663525626</v>
      </c>
      <c r="E445" s="3">
        <f>C445 * (Inputs!$C$9/12)</f>
        <v>273.86445365333543</v>
      </c>
      <c r="F445" s="6">
        <f t="shared" si="33"/>
        <v>751.96211269922719</v>
      </c>
      <c r="G445" s="6">
        <f t="shared" si="34"/>
        <v>37911.254873654005</v>
      </c>
      <c r="H445" s="7">
        <f t="shared" si="36"/>
        <v>1025.8265663525626</v>
      </c>
    </row>
    <row r="446" spans="1:8" x14ac:dyDescent="0.35">
      <c r="A446" s="2" t="str">
        <f>Inputs!$A$9</f>
        <v>L8</v>
      </c>
      <c r="B446" s="3">
        <v>18</v>
      </c>
      <c r="C446" s="6">
        <f t="shared" si="35"/>
        <v>37911.254873654005</v>
      </c>
      <c r="D446" s="6">
        <f>-PMT(Inputs!$C$9/12, Inputs!$D$9, Inputs!$B$9)</f>
        <v>1025.8265663525626</v>
      </c>
      <c r="E446" s="3">
        <f>C446 * (Inputs!$C$9/12)</f>
        <v>268.53805535504921</v>
      </c>
      <c r="F446" s="6">
        <f t="shared" si="33"/>
        <v>757.28851099751341</v>
      </c>
      <c r="G446" s="6">
        <f t="shared" si="34"/>
        <v>37153.966362656494</v>
      </c>
      <c r="H446" s="7">
        <f t="shared" si="36"/>
        <v>1025.8265663525626</v>
      </c>
    </row>
    <row r="447" spans="1:8" x14ac:dyDescent="0.35">
      <c r="A447" s="2" t="str">
        <f>Inputs!$A$9</f>
        <v>L8</v>
      </c>
      <c r="B447" s="3">
        <v>19</v>
      </c>
      <c r="C447" s="6">
        <f t="shared" si="35"/>
        <v>37153.966362656494</v>
      </c>
      <c r="D447" s="6">
        <f>-PMT(Inputs!$C$9/12, Inputs!$D$9, Inputs!$B$9)</f>
        <v>1025.8265663525626</v>
      </c>
      <c r="E447" s="3">
        <f>C447 * (Inputs!$C$9/12)</f>
        <v>263.17392840215018</v>
      </c>
      <c r="F447" s="6">
        <f t="shared" si="33"/>
        <v>762.65263795041244</v>
      </c>
      <c r="G447" s="6">
        <f t="shared" si="34"/>
        <v>36391.31372470608</v>
      </c>
      <c r="H447" s="7">
        <f t="shared" si="36"/>
        <v>1025.8265663525626</v>
      </c>
    </row>
    <row r="448" spans="1:8" x14ac:dyDescent="0.35">
      <c r="A448" s="2" t="str">
        <f>Inputs!$A$9</f>
        <v>L8</v>
      </c>
      <c r="B448" s="3">
        <v>20</v>
      </c>
      <c r="C448" s="6">
        <f t="shared" si="35"/>
        <v>36391.31372470608</v>
      </c>
      <c r="D448" s="6">
        <f>-PMT(Inputs!$C$9/12, Inputs!$D$9, Inputs!$B$9)</f>
        <v>1025.8265663525626</v>
      </c>
      <c r="E448" s="3">
        <f>C448 * (Inputs!$C$9/12)</f>
        <v>257.77180555000143</v>
      </c>
      <c r="F448" s="6">
        <f t="shared" si="33"/>
        <v>768.05476080256119</v>
      </c>
      <c r="G448" s="6">
        <f t="shared" si="34"/>
        <v>35623.258963903521</v>
      </c>
      <c r="H448" s="7">
        <f t="shared" si="36"/>
        <v>1025.8265663525626</v>
      </c>
    </row>
    <row r="449" spans="1:8" x14ac:dyDescent="0.35">
      <c r="A449" s="2" t="str">
        <f>Inputs!$A$9</f>
        <v>L8</v>
      </c>
      <c r="B449" s="3">
        <v>21</v>
      </c>
      <c r="C449" s="6">
        <f t="shared" si="35"/>
        <v>35623.258963903521</v>
      </c>
      <c r="D449" s="6">
        <f>-PMT(Inputs!$C$9/12, Inputs!$D$9, Inputs!$B$9)</f>
        <v>1025.8265663525626</v>
      </c>
      <c r="E449" s="3">
        <f>C449 * (Inputs!$C$9/12)</f>
        <v>252.33141766098331</v>
      </c>
      <c r="F449" s="6">
        <f t="shared" si="33"/>
        <v>773.49514869157929</v>
      </c>
      <c r="G449" s="6">
        <f t="shared" si="34"/>
        <v>34849.76381521194</v>
      </c>
      <c r="H449" s="7">
        <f t="shared" si="36"/>
        <v>1025.8265663525626</v>
      </c>
    </row>
    <row r="450" spans="1:8" x14ac:dyDescent="0.35">
      <c r="A450" s="2" t="str">
        <f>Inputs!$A$9</f>
        <v>L8</v>
      </c>
      <c r="B450" s="3">
        <v>22</v>
      </c>
      <c r="C450" s="6">
        <f t="shared" si="35"/>
        <v>34849.76381521194</v>
      </c>
      <c r="D450" s="6">
        <f>-PMT(Inputs!$C$9/12, Inputs!$D$9, Inputs!$B$9)</f>
        <v>1025.8265663525626</v>
      </c>
      <c r="E450" s="3">
        <f>C450 * (Inputs!$C$9/12)</f>
        <v>246.85249369108459</v>
      </c>
      <c r="F450" s="6">
        <f t="shared" si="33"/>
        <v>778.97407266147798</v>
      </c>
      <c r="G450" s="6">
        <f t="shared" si="34"/>
        <v>34070.789742550463</v>
      </c>
      <c r="H450" s="7">
        <f t="shared" si="36"/>
        <v>1025.8265663525626</v>
      </c>
    </row>
    <row r="451" spans="1:8" x14ac:dyDescent="0.35">
      <c r="A451" s="2" t="str">
        <f>Inputs!$A$9</f>
        <v>L8</v>
      </c>
      <c r="B451" s="3">
        <v>23</v>
      </c>
      <c r="C451" s="6">
        <f t="shared" si="35"/>
        <v>34070.789742550463</v>
      </c>
      <c r="D451" s="6">
        <f>-PMT(Inputs!$C$9/12, Inputs!$D$9, Inputs!$B$9)</f>
        <v>1025.8265663525626</v>
      </c>
      <c r="E451" s="3">
        <f>C451 * (Inputs!$C$9/12)</f>
        <v>241.33476067639913</v>
      </c>
      <c r="F451" s="6">
        <f t="shared" si="33"/>
        <v>784.49180567616349</v>
      </c>
      <c r="G451" s="6">
        <f t="shared" si="34"/>
        <v>33286.297936874296</v>
      </c>
      <c r="H451" s="7">
        <f t="shared" si="36"/>
        <v>1025.8265663525626</v>
      </c>
    </row>
    <row r="452" spans="1:8" x14ac:dyDescent="0.35">
      <c r="A452" s="2" t="str">
        <f>Inputs!$A$9</f>
        <v>L8</v>
      </c>
      <c r="B452" s="3">
        <v>24</v>
      </c>
      <c r="C452" s="6">
        <f t="shared" si="35"/>
        <v>33286.297936874296</v>
      </c>
      <c r="D452" s="6">
        <f>-PMT(Inputs!$C$9/12, Inputs!$D$9, Inputs!$B$9)</f>
        <v>1025.8265663525626</v>
      </c>
      <c r="E452" s="3">
        <f>C452 * (Inputs!$C$9/12)</f>
        <v>235.77794371952629</v>
      </c>
      <c r="F452" s="6">
        <f t="shared" si="33"/>
        <v>790.0486226330363</v>
      </c>
      <c r="G452" s="6">
        <f t="shared" si="34"/>
        <v>32496.24931424126</v>
      </c>
      <c r="H452" s="7">
        <f t="shared" si="36"/>
        <v>1025.8265663525626</v>
      </c>
    </row>
    <row r="453" spans="1:8" x14ac:dyDescent="0.35">
      <c r="A453" s="2" t="str">
        <f>Inputs!$A$9</f>
        <v>L8</v>
      </c>
      <c r="B453" s="3">
        <v>25</v>
      </c>
      <c r="C453" s="6">
        <f t="shared" si="35"/>
        <v>32496.24931424126</v>
      </c>
      <c r="D453" s="6">
        <f>-PMT(Inputs!$C$9/12, Inputs!$D$9, Inputs!$B$9)</f>
        <v>1025.8265663525626</v>
      </c>
      <c r="E453" s="3">
        <f>C453 * (Inputs!$C$9/12)</f>
        <v>230.18176597587561</v>
      </c>
      <c r="F453" s="6">
        <f t="shared" si="33"/>
        <v>795.64480037668704</v>
      </c>
      <c r="G453" s="6">
        <f t="shared" si="34"/>
        <v>31700.604513864575</v>
      </c>
      <c r="H453" s="7">
        <f t="shared" si="36"/>
        <v>1025.8265663525626</v>
      </c>
    </row>
    <row r="454" spans="1:8" x14ac:dyDescent="0.35">
      <c r="A454" s="2" t="str">
        <f>Inputs!$A$9</f>
        <v>L8</v>
      </c>
      <c r="B454" s="3">
        <v>26</v>
      </c>
      <c r="C454" s="6">
        <f t="shared" si="35"/>
        <v>31700.604513864575</v>
      </c>
      <c r="D454" s="6">
        <f>-PMT(Inputs!$C$9/12, Inputs!$D$9, Inputs!$B$9)</f>
        <v>1025.8265663525626</v>
      </c>
      <c r="E454" s="3">
        <f>C454 * (Inputs!$C$9/12)</f>
        <v>224.5459486398741</v>
      </c>
      <c r="F454" s="6">
        <f t="shared" si="33"/>
        <v>801.28061771268858</v>
      </c>
      <c r="G454" s="6">
        <f t="shared" si="34"/>
        <v>30899.323896151887</v>
      </c>
      <c r="H454" s="7">
        <f t="shared" si="36"/>
        <v>1025.8265663525626</v>
      </c>
    </row>
    <row r="455" spans="1:8" x14ac:dyDescent="0.35">
      <c r="A455" s="2" t="str">
        <f>Inputs!$A$9</f>
        <v>L8</v>
      </c>
      <c r="B455" s="3">
        <v>27</v>
      </c>
      <c r="C455" s="6">
        <f t="shared" si="35"/>
        <v>30899.323896151887</v>
      </c>
      <c r="D455" s="6">
        <f>-PMT(Inputs!$C$9/12, Inputs!$D$9, Inputs!$B$9)</f>
        <v>1025.8265663525626</v>
      </c>
      <c r="E455" s="3">
        <f>C455 * (Inputs!$C$9/12)</f>
        <v>218.87021093107589</v>
      </c>
      <c r="F455" s="6">
        <f t="shared" si="33"/>
        <v>806.95635542148671</v>
      </c>
      <c r="G455" s="6">
        <f t="shared" si="34"/>
        <v>30092.3675407304</v>
      </c>
      <c r="H455" s="7">
        <f t="shared" si="36"/>
        <v>1025.8265663525626</v>
      </c>
    </row>
    <row r="456" spans="1:8" x14ac:dyDescent="0.35">
      <c r="A456" s="2" t="str">
        <f>Inputs!$A$9</f>
        <v>L8</v>
      </c>
      <c r="B456" s="3">
        <v>28</v>
      </c>
      <c r="C456" s="6">
        <f t="shared" si="35"/>
        <v>30092.3675407304</v>
      </c>
      <c r="D456" s="6">
        <f>-PMT(Inputs!$C$9/12, Inputs!$D$9, Inputs!$B$9)</f>
        <v>1025.8265663525626</v>
      </c>
      <c r="E456" s="3">
        <f>C456 * (Inputs!$C$9/12)</f>
        <v>213.15427008017369</v>
      </c>
      <c r="F456" s="6">
        <f t="shared" si="33"/>
        <v>812.67229627238896</v>
      </c>
      <c r="G456" s="6">
        <f t="shared" si="34"/>
        <v>29279.695244458009</v>
      </c>
      <c r="H456" s="7">
        <f t="shared" si="36"/>
        <v>1025.8265663525626</v>
      </c>
    </row>
    <row r="457" spans="1:8" x14ac:dyDescent="0.35">
      <c r="A457" s="2" t="str">
        <f>Inputs!$A$9</f>
        <v>L8</v>
      </c>
      <c r="B457" s="3">
        <v>29</v>
      </c>
      <c r="C457" s="6">
        <f t="shared" si="35"/>
        <v>29279.695244458009</v>
      </c>
      <c r="D457" s="6">
        <f>-PMT(Inputs!$C$9/12, Inputs!$D$9, Inputs!$B$9)</f>
        <v>1025.8265663525626</v>
      </c>
      <c r="E457" s="3">
        <f>C457 * (Inputs!$C$9/12)</f>
        <v>207.39784131491092</v>
      </c>
      <c r="F457" s="6">
        <f t="shared" si="33"/>
        <v>818.4287250376517</v>
      </c>
      <c r="G457" s="6">
        <f t="shared" si="34"/>
        <v>28461.266519420358</v>
      </c>
      <c r="H457" s="7">
        <f t="shared" si="36"/>
        <v>1025.8265663525626</v>
      </c>
    </row>
    <row r="458" spans="1:8" x14ac:dyDescent="0.35">
      <c r="A458" s="2" t="str">
        <f>Inputs!$A$9</f>
        <v>L8</v>
      </c>
      <c r="B458" s="3">
        <v>30</v>
      </c>
      <c r="C458" s="6">
        <f t="shared" si="35"/>
        <v>28461.266519420358</v>
      </c>
      <c r="D458" s="6">
        <f>-PMT(Inputs!$C$9/12, Inputs!$D$9, Inputs!$B$9)</f>
        <v>1025.8265663525626</v>
      </c>
      <c r="E458" s="3">
        <f>C458 * (Inputs!$C$9/12)</f>
        <v>201.60063784589423</v>
      </c>
      <c r="F458" s="6">
        <f t="shared" si="33"/>
        <v>824.22592850666842</v>
      </c>
      <c r="G458" s="6">
        <f t="shared" si="34"/>
        <v>27637.04059091369</v>
      </c>
      <c r="H458" s="7">
        <f t="shared" si="36"/>
        <v>1025.8265663525626</v>
      </c>
    </row>
    <row r="459" spans="1:8" x14ac:dyDescent="0.35">
      <c r="A459" s="2" t="str">
        <f>Inputs!$A$9</f>
        <v>L8</v>
      </c>
      <c r="B459" s="3">
        <v>31</v>
      </c>
      <c r="C459" s="6">
        <f t="shared" si="35"/>
        <v>27637.04059091369</v>
      </c>
      <c r="D459" s="6">
        <f>-PMT(Inputs!$C$9/12, Inputs!$D$9, Inputs!$B$9)</f>
        <v>1025.8265663525626</v>
      </c>
      <c r="E459" s="3">
        <f>C459 * (Inputs!$C$9/12)</f>
        <v>195.76237085230531</v>
      </c>
      <c r="F459" s="6">
        <f t="shared" si="33"/>
        <v>830.06419550025726</v>
      </c>
      <c r="G459" s="6">
        <f t="shared" si="34"/>
        <v>26806.976395413432</v>
      </c>
      <c r="H459" s="7">
        <f t="shared" si="36"/>
        <v>1025.8265663525626</v>
      </c>
    </row>
    <row r="460" spans="1:8" x14ac:dyDescent="0.35">
      <c r="A460" s="2" t="str">
        <f>Inputs!$A$9</f>
        <v>L8</v>
      </c>
      <c r="B460" s="3">
        <v>32</v>
      </c>
      <c r="C460" s="6">
        <f t="shared" si="35"/>
        <v>26806.976395413432</v>
      </c>
      <c r="D460" s="6">
        <f>-PMT(Inputs!$C$9/12, Inputs!$D$9, Inputs!$B$9)</f>
        <v>1025.8265663525626</v>
      </c>
      <c r="E460" s="3">
        <f>C460 * (Inputs!$C$9/12)</f>
        <v>189.88274946751181</v>
      </c>
      <c r="F460" s="6">
        <f t="shared" si="33"/>
        <v>835.94381688505086</v>
      </c>
      <c r="G460" s="6">
        <f t="shared" si="34"/>
        <v>25971.032578528382</v>
      </c>
      <c r="H460" s="7">
        <f t="shared" si="36"/>
        <v>1025.8265663525626</v>
      </c>
    </row>
    <row r="461" spans="1:8" x14ac:dyDescent="0.35">
      <c r="A461" s="2" t="str">
        <f>Inputs!$A$9</f>
        <v>L8</v>
      </c>
      <c r="B461" s="3">
        <v>33</v>
      </c>
      <c r="C461" s="6">
        <f t="shared" si="35"/>
        <v>25971.032578528382</v>
      </c>
      <c r="D461" s="6">
        <f>-PMT(Inputs!$C$9/12, Inputs!$D$9, Inputs!$B$9)</f>
        <v>1025.8265663525626</v>
      </c>
      <c r="E461" s="3">
        <f>C461 * (Inputs!$C$9/12)</f>
        <v>183.96148076457607</v>
      </c>
      <c r="F461" s="6">
        <f t="shared" si="33"/>
        <v>841.86508558798653</v>
      </c>
      <c r="G461" s="6">
        <f t="shared" si="34"/>
        <v>25129.167492940396</v>
      </c>
      <c r="H461" s="7">
        <f t="shared" si="36"/>
        <v>1025.8265663525626</v>
      </c>
    </row>
    <row r="462" spans="1:8" x14ac:dyDescent="0.35">
      <c r="A462" s="2" t="str">
        <f>Inputs!$A$9</f>
        <v>L8</v>
      </c>
      <c r="B462" s="3">
        <v>34</v>
      </c>
      <c r="C462" s="6">
        <f t="shared" si="35"/>
        <v>25129.167492940396</v>
      </c>
      <c r="D462" s="6">
        <f>-PMT(Inputs!$C$9/12, Inputs!$D$9, Inputs!$B$9)</f>
        <v>1025.8265663525626</v>
      </c>
      <c r="E462" s="3">
        <f>C462 * (Inputs!$C$9/12)</f>
        <v>177.99826974166115</v>
      </c>
      <c r="F462" s="6">
        <f t="shared" si="33"/>
        <v>847.82829661090148</v>
      </c>
      <c r="G462" s="6">
        <f t="shared" si="34"/>
        <v>24281.339196329496</v>
      </c>
      <c r="H462" s="7">
        <f t="shared" si="36"/>
        <v>1025.8265663525626</v>
      </c>
    </row>
    <row r="463" spans="1:8" x14ac:dyDescent="0.35">
      <c r="A463" s="2" t="str">
        <f>Inputs!$A$9</f>
        <v>L8</v>
      </c>
      <c r="B463" s="3">
        <v>35</v>
      </c>
      <c r="C463" s="6">
        <f t="shared" si="35"/>
        <v>24281.339196329496</v>
      </c>
      <c r="D463" s="6">
        <f>-PMT(Inputs!$C$9/12, Inputs!$D$9, Inputs!$B$9)</f>
        <v>1025.8265663525626</v>
      </c>
      <c r="E463" s="3">
        <f>C463 * (Inputs!$C$9/12)</f>
        <v>171.99281930733395</v>
      </c>
      <c r="F463" s="6">
        <f t="shared" si="33"/>
        <v>853.83374704522862</v>
      </c>
      <c r="G463" s="6">
        <f t="shared" si="34"/>
        <v>23427.505449284268</v>
      </c>
      <c r="H463" s="7">
        <f t="shared" ref="H463:H487" si="37">D461</f>
        <v>1025.8265663525626</v>
      </c>
    </row>
    <row r="464" spans="1:8" x14ac:dyDescent="0.35">
      <c r="A464" s="2" t="str">
        <f>Inputs!$A$9</f>
        <v>L8</v>
      </c>
      <c r="B464" s="3">
        <v>36</v>
      </c>
      <c r="C464" s="6">
        <f t="shared" si="35"/>
        <v>23427.505449284268</v>
      </c>
      <c r="D464" s="6">
        <f>-PMT(Inputs!$C$9/12, Inputs!$D$9, Inputs!$B$9)</f>
        <v>1025.8265663525626</v>
      </c>
      <c r="E464" s="3">
        <f>C464 * (Inputs!$C$9/12)</f>
        <v>165.94483026576358</v>
      </c>
      <c r="F464" s="6">
        <f t="shared" si="33"/>
        <v>859.88173608679904</v>
      </c>
      <c r="G464" s="6">
        <f t="shared" si="34"/>
        <v>22567.62371319747</v>
      </c>
      <c r="H464" s="7">
        <f t="shared" si="37"/>
        <v>1025.8265663525626</v>
      </c>
    </row>
    <row r="465" spans="1:8" x14ac:dyDescent="0.35">
      <c r="A465" s="2" t="str">
        <f>Inputs!$A$9</f>
        <v>L8</v>
      </c>
      <c r="B465" s="3">
        <v>37</v>
      </c>
      <c r="C465" s="6">
        <f t="shared" si="35"/>
        <v>22567.62371319747</v>
      </c>
      <c r="D465" s="6">
        <f>-PMT(Inputs!$C$9/12, Inputs!$D$9, Inputs!$B$9)</f>
        <v>1025.8265663525626</v>
      </c>
      <c r="E465" s="3">
        <f>C465 * (Inputs!$C$9/12)</f>
        <v>159.85400130181543</v>
      </c>
      <c r="F465" s="6">
        <f t="shared" si="33"/>
        <v>865.97256505074722</v>
      </c>
      <c r="G465" s="6">
        <f t="shared" si="34"/>
        <v>21701.651148146724</v>
      </c>
      <c r="H465" s="7">
        <f t="shared" si="37"/>
        <v>1025.8265663525626</v>
      </c>
    </row>
    <row r="466" spans="1:8" x14ac:dyDescent="0.35">
      <c r="A466" s="2" t="str">
        <f>Inputs!$A$9</f>
        <v>L8</v>
      </c>
      <c r="B466" s="3">
        <v>38</v>
      </c>
      <c r="C466" s="6">
        <f t="shared" si="35"/>
        <v>21701.651148146724</v>
      </c>
      <c r="D466" s="6">
        <f>-PMT(Inputs!$C$9/12, Inputs!$D$9, Inputs!$B$9)</f>
        <v>1025.8265663525626</v>
      </c>
      <c r="E466" s="3">
        <f>C466 * (Inputs!$C$9/12)</f>
        <v>153.72002896603931</v>
      </c>
      <c r="F466" s="6">
        <f t="shared" si="33"/>
        <v>872.10653738652331</v>
      </c>
      <c r="G466" s="6">
        <f t="shared" si="34"/>
        <v>20829.5446107602</v>
      </c>
      <c r="H466" s="7">
        <f t="shared" si="37"/>
        <v>1025.8265663525626</v>
      </c>
    </row>
    <row r="467" spans="1:8" x14ac:dyDescent="0.35">
      <c r="A467" s="2" t="str">
        <f>Inputs!$A$9</f>
        <v>L8</v>
      </c>
      <c r="B467" s="3">
        <v>39</v>
      </c>
      <c r="C467" s="6">
        <f t="shared" si="35"/>
        <v>20829.5446107602</v>
      </c>
      <c r="D467" s="6">
        <f>-PMT(Inputs!$C$9/12, Inputs!$D$9, Inputs!$B$9)</f>
        <v>1025.8265663525626</v>
      </c>
      <c r="E467" s="3">
        <f>C467 * (Inputs!$C$9/12)</f>
        <v>147.54260765955144</v>
      </c>
      <c r="F467" s="6">
        <f t="shared" si="33"/>
        <v>878.28395869301119</v>
      </c>
      <c r="G467" s="6">
        <f t="shared" si="34"/>
        <v>19951.260652067191</v>
      </c>
      <c r="H467" s="7">
        <f t="shared" si="37"/>
        <v>1025.8265663525626</v>
      </c>
    </row>
    <row r="468" spans="1:8" x14ac:dyDescent="0.35">
      <c r="A468" s="2" t="str">
        <f>Inputs!$A$9</f>
        <v>L8</v>
      </c>
      <c r="B468" s="3">
        <v>40</v>
      </c>
      <c r="C468" s="6">
        <f t="shared" si="35"/>
        <v>19951.260652067191</v>
      </c>
      <c r="D468" s="6">
        <f>-PMT(Inputs!$C$9/12, Inputs!$D$9, Inputs!$B$9)</f>
        <v>1025.8265663525626</v>
      </c>
      <c r="E468" s="3">
        <f>C468 * (Inputs!$C$9/12)</f>
        <v>141.32142961880928</v>
      </c>
      <c r="F468" s="6">
        <f t="shared" si="33"/>
        <v>884.50513673375337</v>
      </c>
      <c r="G468" s="6">
        <f t="shared" si="34"/>
        <v>19066.755515333436</v>
      </c>
      <c r="H468" s="7">
        <f t="shared" si="37"/>
        <v>1025.8265663525626</v>
      </c>
    </row>
    <row r="469" spans="1:8" x14ac:dyDescent="0.35">
      <c r="A469" s="2" t="str">
        <f>Inputs!$A$9</f>
        <v>L8</v>
      </c>
      <c r="B469" s="3">
        <v>41</v>
      </c>
      <c r="C469" s="6">
        <f t="shared" si="35"/>
        <v>19066.755515333436</v>
      </c>
      <c r="D469" s="6">
        <f>-PMT(Inputs!$C$9/12, Inputs!$D$9, Inputs!$B$9)</f>
        <v>1025.8265663525626</v>
      </c>
      <c r="E469" s="3">
        <f>C469 * (Inputs!$C$9/12)</f>
        <v>135.05618490027851</v>
      </c>
      <c r="F469" s="6">
        <f t="shared" si="33"/>
        <v>890.77038145228414</v>
      </c>
      <c r="G469" s="6">
        <f t="shared" si="34"/>
        <v>18175.985133881153</v>
      </c>
      <c r="H469" s="7">
        <f t="shared" si="37"/>
        <v>1025.8265663525626</v>
      </c>
    </row>
    <row r="470" spans="1:8" x14ac:dyDescent="0.35">
      <c r="A470" s="2" t="str">
        <f>Inputs!$A$9</f>
        <v>L8</v>
      </c>
      <c r="B470" s="3">
        <v>42</v>
      </c>
      <c r="C470" s="6">
        <f t="shared" si="35"/>
        <v>18175.985133881153</v>
      </c>
      <c r="D470" s="6">
        <f>-PMT(Inputs!$C$9/12, Inputs!$D$9, Inputs!$B$9)</f>
        <v>1025.8265663525626</v>
      </c>
      <c r="E470" s="3">
        <f>C470 * (Inputs!$C$9/12)</f>
        <v>128.74656136499152</v>
      </c>
      <c r="F470" s="6">
        <f t="shared" si="33"/>
        <v>897.0800049875711</v>
      </c>
      <c r="G470" s="6">
        <f t="shared" si="34"/>
        <v>17278.905128893581</v>
      </c>
      <c r="H470" s="7">
        <f t="shared" si="37"/>
        <v>1025.8265663525626</v>
      </c>
    </row>
    <row r="471" spans="1:8" x14ac:dyDescent="0.35">
      <c r="A471" s="2" t="str">
        <f>Inputs!$A$9</f>
        <v>L8</v>
      </c>
      <c r="B471" s="3">
        <v>43</v>
      </c>
      <c r="C471" s="6">
        <f t="shared" si="35"/>
        <v>17278.905128893581</v>
      </c>
      <c r="D471" s="6">
        <f>-PMT(Inputs!$C$9/12, Inputs!$D$9, Inputs!$B$9)</f>
        <v>1025.8265663525626</v>
      </c>
      <c r="E471" s="3">
        <f>C471 * (Inputs!$C$9/12)</f>
        <v>122.39224466299621</v>
      </c>
      <c r="F471" s="6">
        <f t="shared" si="33"/>
        <v>903.43432168956645</v>
      </c>
      <c r="G471" s="6">
        <f t="shared" si="34"/>
        <v>16375.470807204014</v>
      </c>
      <c r="H471" s="7">
        <f t="shared" si="37"/>
        <v>1025.8265663525626</v>
      </c>
    </row>
    <row r="472" spans="1:8" x14ac:dyDescent="0.35">
      <c r="A472" s="2" t="str">
        <f>Inputs!$A$9</f>
        <v>L8</v>
      </c>
      <c r="B472" s="3">
        <v>44</v>
      </c>
      <c r="C472" s="6">
        <f t="shared" si="35"/>
        <v>16375.470807204014</v>
      </c>
      <c r="D472" s="6">
        <f>-PMT(Inputs!$C$9/12, Inputs!$D$9, Inputs!$B$9)</f>
        <v>1025.8265663525626</v>
      </c>
      <c r="E472" s="3">
        <f>C472 * (Inputs!$C$9/12)</f>
        <v>115.99291821769511</v>
      </c>
      <c r="F472" s="6">
        <f t="shared" si="33"/>
        <v>909.83364813486753</v>
      </c>
      <c r="G472" s="6">
        <f t="shared" si="34"/>
        <v>15465.637159069147</v>
      </c>
      <c r="H472" s="7">
        <f t="shared" si="37"/>
        <v>1025.8265663525626</v>
      </c>
    </row>
    <row r="473" spans="1:8" x14ac:dyDescent="0.35">
      <c r="A473" s="2" t="str">
        <f>Inputs!$A$9</f>
        <v>L8</v>
      </c>
      <c r="B473" s="3">
        <v>45</v>
      </c>
      <c r="C473" s="6">
        <f t="shared" si="35"/>
        <v>15465.637159069147</v>
      </c>
      <c r="D473" s="6">
        <f>-PMT(Inputs!$C$9/12, Inputs!$D$9, Inputs!$B$9)</f>
        <v>1025.8265663525626</v>
      </c>
      <c r="E473" s="3">
        <f>C473 * (Inputs!$C$9/12)</f>
        <v>109.54826321007313</v>
      </c>
      <c r="F473" s="6">
        <f t="shared" si="33"/>
        <v>916.27830314248945</v>
      </c>
      <c r="G473" s="6">
        <f t="shared" si="34"/>
        <v>14549.358855926657</v>
      </c>
      <c r="H473" s="7">
        <f t="shared" si="37"/>
        <v>1025.8265663525626</v>
      </c>
    </row>
    <row r="474" spans="1:8" x14ac:dyDescent="0.35">
      <c r="A474" s="2" t="str">
        <f>Inputs!$A$9</f>
        <v>L8</v>
      </c>
      <c r="B474" s="3">
        <v>46</v>
      </c>
      <c r="C474" s="6">
        <f t="shared" si="35"/>
        <v>14549.358855926657</v>
      </c>
      <c r="D474" s="6">
        <f>-PMT(Inputs!$C$9/12, Inputs!$D$9, Inputs!$B$9)</f>
        <v>1025.8265663525626</v>
      </c>
      <c r="E474" s="3">
        <f>C474 * (Inputs!$C$9/12)</f>
        <v>103.05795856281382</v>
      </c>
      <c r="F474" s="6">
        <f t="shared" si="33"/>
        <v>922.76860778974878</v>
      </c>
      <c r="G474" s="6">
        <f t="shared" si="34"/>
        <v>13626.590248136908</v>
      </c>
      <c r="H474" s="7">
        <f t="shared" si="37"/>
        <v>1025.8265663525626</v>
      </c>
    </row>
    <row r="475" spans="1:8" x14ac:dyDescent="0.35">
      <c r="A475" s="2" t="str">
        <f>Inputs!$A$9</f>
        <v>L8</v>
      </c>
      <c r="B475" s="3">
        <v>47</v>
      </c>
      <c r="C475" s="6">
        <f t="shared" si="35"/>
        <v>13626.590248136908</v>
      </c>
      <c r="D475" s="6">
        <f>-PMT(Inputs!$C$9/12, Inputs!$D$9, Inputs!$B$9)</f>
        <v>1025.8265663525626</v>
      </c>
      <c r="E475" s="3">
        <f>C475 * (Inputs!$C$9/12)</f>
        <v>96.521680924303112</v>
      </c>
      <c r="F475" s="6">
        <f t="shared" si="33"/>
        <v>929.30488542825947</v>
      </c>
      <c r="G475" s="6">
        <f t="shared" si="34"/>
        <v>12697.28536270865</v>
      </c>
      <c r="H475" s="7">
        <f t="shared" si="37"/>
        <v>1025.8265663525626</v>
      </c>
    </row>
    <row r="476" spans="1:8" x14ac:dyDescent="0.35">
      <c r="A476" s="2" t="str">
        <f>Inputs!$A$9</f>
        <v>L8</v>
      </c>
      <c r="B476" s="3">
        <v>48</v>
      </c>
      <c r="C476" s="6">
        <f t="shared" si="35"/>
        <v>12697.28536270865</v>
      </c>
      <c r="D476" s="6">
        <f>-PMT(Inputs!$C$9/12, Inputs!$D$9, Inputs!$B$9)</f>
        <v>1025.8265663525626</v>
      </c>
      <c r="E476" s="3">
        <f>C476 * (Inputs!$C$9/12)</f>
        <v>89.939104652519603</v>
      </c>
      <c r="F476" s="6">
        <f t="shared" si="33"/>
        <v>935.88746170004299</v>
      </c>
      <c r="G476" s="6">
        <f t="shared" si="34"/>
        <v>11761.397901008606</v>
      </c>
      <c r="H476" s="7">
        <f t="shared" si="37"/>
        <v>1025.8265663525626</v>
      </c>
    </row>
    <row r="477" spans="1:8" x14ac:dyDescent="0.35">
      <c r="A477" s="2" t="str">
        <f>Inputs!$A$9</f>
        <v>L8</v>
      </c>
      <c r="B477" s="3">
        <v>49</v>
      </c>
      <c r="C477" s="6">
        <f t="shared" si="35"/>
        <v>11761.397901008606</v>
      </c>
      <c r="D477" s="6">
        <f>-PMT(Inputs!$C$9/12, Inputs!$D$9, Inputs!$B$9)</f>
        <v>1025.8265663525626</v>
      </c>
      <c r="E477" s="3">
        <f>C477 * (Inputs!$C$9/12)</f>
        <v>83.309901798810969</v>
      </c>
      <c r="F477" s="6">
        <f t="shared" si="33"/>
        <v>942.51666455375164</v>
      </c>
      <c r="G477" s="6">
        <f t="shared" si="34"/>
        <v>10818.881236454854</v>
      </c>
      <c r="H477" s="7">
        <f t="shared" si="37"/>
        <v>1025.8265663525626</v>
      </c>
    </row>
    <row r="478" spans="1:8" x14ac:dyDescent="0.35">
      <c r="A478" s="2" t="str">
        <f>Inputs!$A$9</f>
        <v>L8</v>
      </c>
      <c r="B478" s="3">
        <v>50</v>
      </c>
      <c r="C478" s="6">
        <f t="shared" si="35"/>
        <v>10818.881236454854</v>
      </c>
      <c r="D478" s="6">
        <f>-PMT(Inputs!$C$9/12, Inputs!$D$9, Inputs!$B$9)</f>
        <v>1025.8265663525626</v>
      </c>
      <c r="E478" s="3">
        <f>C478 * (Inputs!$C$9/12)</f>
        <v>76.63374209155522</v>
      </c>
      <c r="F478" s="6">
        <f t="shared" si="33"/>
        <v>949.19282426100744</v>
      </c>
      <c r="G478" s="6">
        <f t="shared" si="34"/>
        <v>9869.6884121938456</v>
      </c>
      <c r="H478" s="7">
        <f t="shared" si="37"/>
        <v>1025.8265663525626</v>
      </c>
    </row>
    <row r="479" spans="1:8" x14ac:dyDescent="0.35">
      <c r="A479" s="2" t="str">
        <f>Inputs!$A$9</f>
        <v>L8</v>
      </c>
      <c r="B479" s="3">
        <v>51</v>
      </c>
      <c r="C479" s="6">
        <f t="shared" si="35"/>
        <v>9869.6884121938456</v>
      </c>
      <c r="D479" s="6">
        <f>-PMT(Inputs!$C$9/12, Inputs!$D$9, Inputs!$B$9)</f>
        <v>1025.8265663525626</v>
      </c>
      <c r="E479" s="3">
        <f>C479 * (Inputs!$C$9/12)</f>
        <v>69.910292919706407</v>
      </c>
      <c r="F479" s="6">
        <f t="shared" si="33"/>
        <v>955.9162734328562</v>
      </c>
      <c r="G479" s="6">
        <f t="shared" si="34"/>
        <v>8913.772138760989</v>
      </c>
      <c r="H479" s="7">
        <f t="shared" si="37"/>
        <v>1025.8265663525626</v>
      </c>
    </row>
    <row r="480" spans="1:8" x14ac:dyDescent="0.35">
      <c r="A480" s="2" t="str">
        <f>Inputs!$A$9</f>
        <v>L8</v>
      </c>
      <c r="B480" s="3">
        <v>52</v>
      </c>
      <c r="C480" s="6">
        <f t="shared" si="35"/>
        <v>8913.772138760989</v>
      </c>
      <c r="D480" s="6">
        <f>-PMT(Inputs!$C$9/12, Inputs!$D$9, Inputs!$B$9)</f>
        <v>1025.8265663525626</v>
      </c>
      <c r="E480" s="3">
        <f>C480 * (Inputs!$C$9/12)</f>
        <v>63.139219316223674</v>
      </c>
      <c r="F480" s="6">
        <f t="shared" si="33"/>
        <v>962.68734703633891</v>
      </c>
      <c r="G480" s="6">
        <f t="shared" si="34"/>
        <v>7951.0847917246501</v>
      </c>
      <c r="H480" s="7">
        <f t="shared" si="37"/>
        <v>1025.8265663525626</v>
      </c>
    </row>
    <row r="481" spans="1:8" x14ac:dyDescent="0.35">
      <c r="A481" s="2" t="str">
        <f>Inputs!$A$9</f>
        <v>L8</v>
      </c>
      <c r="B481" s="3">
        <v>53</v>
      </c>
      <c r="C481" s="6">
        <f t="shared" si="35"/>
        <v>7951.0847917246501</v>
      </c>
      <c r="D481" s="6">
        <f>-PMT(Inputs!$C$9/12, Inputs!$D$9, Inputs!$B$9)</f>
        <v>1025.8265663525626</v>
      </c>
      <c r="E481" s="3">
        <f>C481 * (Inputs!$C$9/12)</f>
        <v>56.320183941382943</v>
      </c>
      <c r="F481" s="6">
        <f t="shared" si="33"/>
        <v>969.50638241117963</v>
      </c>
      <c r="G481" s="6">
        <f t="shared" si="34"/>
        <v>6981.5784093134707</v>
      </c>
      <c r="H481" s="7">
        <f t="shared" si="37"/>
        <v>1025.8265663525626</v>
      </c>
    </row>
    <row r="482" spans="1:8" x14ac:dyDescent="0.35">
      <c r="A482" s="2" t="str">
        <f>Inputs!$A$9</f>
        <v>L8</v>
      </c>
      <c r="B482" s="3">
        <v>54</v>
      </c>
      <c r="C482" s="6">
        <f t="shared" si="35"/>
        <v>6981.5784093134707</v>
      </c>
      <c r="D482" s="6">
        <f>-PMT(Inputs!$C$9/12, Inputs!$D$9, Inputs!$B$9)</f>
        <v>1025.8265663525626</v>
      </c>
      <c r="E482" s="3">
        <f>C482 * (Inputs!$C$9/12)</f>
        <v>49.452847065970424</v>
      </c>
      <c r="F482" s="6">
        <f t="shared" si="33"/>
        <v>976.37371928659218</v>
      </c>
      <c r="G482" s="6">
        <f t="shared" si="34"/>
        <v>6005.2046900268788</v>
      </c>
      <c r="H482" s="7">
        <f t="shared" si="37"/>
        <v>1025.8265663525626</v>
      </c>
    </row>
    <row r="483" spans="1:8" x14ac:dyDescent="0.35">
      <c r="A483" s="2" t="str">
        <f>Inputs!$A$9</f>
        <v>L8</v>
      </c>
      <c r="B483" s="3">
        <v>55</v>
      </c>
      <c r="C483" s="6">
        <f t="shared" si="35"/>
        <v>6005.2046900268788</v>
      </c>
      <c r="D483" s="6">
        <f>-PMT(Inputs!$C$9/12, Inputs!$D$9, Inputs!$B$9)</f>
        <v>1025.8265663525626</v>
      </c>
      <c r="E483" s="3">
        <f>C483 * (Inputs!$C$9/12)</f>
        <v>42.536866554357061</v>
      </c>
      <c r="F483" s="6">
        <f t="shared" si="33"/>
        <v>983.28969979820556</v>
      </c>
      <c r="G483" s="6">
        <f t="shared" si="34"/>
        <v>5021.9149902286736</v>
      </c>
      <c r="H483" s="7">
        <f t="shared" si="37"/>
        <v>1025.8265663525626</v>
      </c>
    </row>
    <row r="484" spans="1:8" x14ac:dyDescent="0.35">
      <c r="A484" s="2" t="str">
        <f>Inputs!$A$9</f>
        <v>L8</v>
      </c>
      <c r="B484" s="3">
        <v>56</v>
      </c>
      <c r="C484" s="6">
        <f t="shared" si="35"/>
        <v>5021.9149902286736</v>
      </c>
      <c r="D484" s="6">
        <f>-PMT(Inputs!$C$9/12, Inputs!$D$9, Inputs!$B$9)</f>
        <v>1025.8265663525626</v>
      </c>
      <c r="E484" s="3">
        <f>C484 * (Inputs!$C$9/12)</f>
        <v>35.571897847453108</v>
      </c>
      <c r="F484" s="6">
        <f t="shared" si="33"/>
        <v>990.25466850510952</v>
      </c>
      <c r="G484" s="6">
        <f t="shared" si="34"/>
        <v>4031.6603217235643</v>
      </c>
      <c r="H484" s="7">
        <f t="shared" si="37"/>
        <v>1025.8265663525626</v>
      </c>
    </row>
    <row r="485" spans="1:8" x14ac:dyDescent="0.35">
      <c r="A485" s="2" t="str">
        <f>Inputs!$A$9</f>
        <v>L8</v>
      </c>
      <c r="B485" s="3">
        <v>57</v>
      </c>
      <c r="C485" s="6">
        <f t="shared" si="35"/>
        <v>4031.6603217235643</v>
      </c>
      <c r="D485" s="6">
        <f>-PMT(Inputs!$C$9/12, Inputs!$D$9, Inputs!$B$9)</f>
        <v>1025.8265663525626</v>
      </c>
      <c r="E485" s="3">
        <f>C485 * (Inputs!$C$9/12)</f>
        <v>28.557593945541914</v>
      </c>
      <c r="F485" s="6">
        <f t="shared" si="33"/>
        <v>997.26897240702067</v>
      </c>
      <c r="G485" s="6">
        <f t="shared" si="34"/>
        <v>3034.3913493165437</v>
      </c>
      <c r="H485" s="7">
        <f t="shared" si="37"/>
        <v>1025.8265663525626</v>
      </c>
    </row>
    <row r="486" spans="1:8" x14ac:dyDescent="0.35">
      <c r="A486" s="2" t="str">
        <f>Inputs!$A$9</f>
        <v>L8</v>
      </c>
      <c r="B486" s="3">
        <v>58</v>
      </c>
      <c r="C486" s="6">
        <f t="shared" si="35"/>
        <v>3034.3913493165437</v>
      </c>
      <c r="D486" s="6">
        <f>-PMT(Inputs!$C$9/12, Inputs!$D$9, Inputs!$B$9)</f>
        <v>1025.8265663525626</v>
      </c>
      <c r="E486" s="3">
        <f>C486 * (Inputs!$C$9/12)</f>
        <v>21.493605390992187</v>
      </c>
      <c r="F486" s="6">
        <f t="shared" si="33"/>
        <v>1004.3329609615704</v>
      </c>
      <c r="G486" s="6">
        <f t="shared" si="34"/>
        <v>2030.0583883549734</v>
      </c>
      <c r="H486" s="7">
        <f t="shared" si="37"/>
        <v>1025.8265663525626</v>
      </c>
    </row>
    <row r="487" spans="1:8" x14ac:dyDescent="0.35">
      <c r="A487" s="2" t="str">
        <f>Inputs!$A$9</f>
        <v>L8</v>
      </c>
      <c r="B487" s="3">
        <v>59</v>
      </c>
      <c r="C487" s="6">
        <f t="shared" si="35"/>
        <v>2030.0583883549734</v>
      </c>
      <c r="D487" s="6">
        <f>-PMT(Inputs!$C$9/12, Inputs!$D$9, Inputs!$B$9)</f>
        <v>1025.8265663525626</v>
      </c>
      <c r="E487" s="3">
        <f>C487 * (Inputs!$C$9/12)</f>
        <v>14.379580250847729</v>
      </c>
      <c r="F487" s="6">
        <f t="shared" si="33"/>
        <v>1011.4469861017149</v>
      </c>
      <c r="G487" s="6">
        <f t="shared" si="34"/>
        <v>1018.6114022532586</v>
      </c>
      <c r="H487" s="7">
        <f t="shared" si="37"/>
        <v>1025.8265663525626</v>
      </c>
    </row>
    <row r="488" spans="1:8" x14ac:dyDescent="0.35">
      <c r="A488" s="2" t="str">
        <f>Inputs!$A$9</f>
        <v>L8</v>
      </c>
      <c r="B488" s="4">
        <v>60</v>
      </c>
      <c r="C488" s="6">
        <f t="shared" si="35"/>
        <v>1018.6114022532586</v>
      </c>
      <c r="D488" s="6">
        <f>-PMT(Inputs!$C$9/12, Inputs!$D$9, Inputs!$B$9)</f>
        <v>1025.8265663525626</v>
      </c>
      <c r="E488" s="3">
        <f>C488 * (Inputs!$C$9/12)</f>
        <v>7.215164099293915</v>
      </c>
      <c r="F488" s="6">
        <f t="shared" si="33"/>
        <v>1018.6114022532687</v>
      </c>
      <c r="G488" s="6">
        <f>C488 - F488</f>
        <v>-1.0118128557223827E-11</v>
      </c>
      <c r="H488" s="8">
        <f>D488</f>
        <v>1025.8265663525626</v>
      </c>
    </row>
    <row r="490" spans="1:8" x14ac:dyDescent="0.35">
      <c r="A490" s="2" t="str">
        <f>Inputs!$A$10</f>
        <v>L9</v>
      </c>
      <c r="B490" s="3">
        <v>1</v>
      </c>
      <c r="C490" s="3">
        <f>Inputs!$B$10</f>
        <v>27000</v>
      </c>
      <c r="D490" s="6">
        <f>-PMT(Inputs!$C$10/12, Inputs!$D$10, Inputs!$B$10)</f>
        <v>534.63236058943744</v>
      </c>
      <c r="E490" s="3">
        <f>C490 * (Inputs!$C$10/12)</f>
        <v>157.5</v>
      </c>
      <c r="F490" s="6">
        <f>D490 - E490</f>
        <v>377.13236058943744</v>
      </c>
      <c r="G490" s="6">
        <f>C490 - F490</f>
        <v>26622.867639410564</v>
      </c>
      <c r="H490" s="7">
        <f>D490</f>
        <v>534.63236058943744</v>
      </c>
    </row>
    <row r="491" spans="1:8" x14ac:dyDescent="0.35">
      <c r="A491" s="2" t="str">
        <f>Inputs!$A$10</f>
        <v>L9</v>
      </c>
      <c r="B491" s="3">
        <v>2</v>
      </c>
      <c r="C491" s="6">
        <f>G490</f>
        <v>26622.867639410564</v>
      </c>
      <c r="D491" s="6">
        <f>-PMT(Inputs!$C$10/12, Inputs!$D$10, Inputs!$B$10)</f>
        <v>534.63236058943744</v>
      </c>
      <c r="E491" s="3">
        <f>C491 * (Inputs!$C$10/12)</f>
        <v>155.30006122989496</v>
      </c>
      <c r="F491" s="6">
        <f>D491 - E491</f>
        <v>379.3322993595425</v>
      </c>
      <c r="G491" s="6">
        <f t="shared" ref="G491:G548" si="38">C491 - F491</f>
        <v>26243.535340051021</v>
      </c>
      <c r="H491" s="7">
        <f>D491</f>
        <v>534.63236058943744</v>
      </c>
    </row>
    <row r="492" spans="1:8" x14ac:dyDescent="0.35">
      <c r="A492" s="2" t="str">
        <f>Inputs!$A$10</f>
        <v>L9</v>
      </c>
      <c r="B492" s="3">
        <v>3</v>
      </c>
      <c r="C492" s="6">
        <f t="shared" ref="C492:C549" si="39">G491</f>
        <v>26243.535340051021</v>
      </c>
      <c r="D492" s="6">
        <f>-PMT(Inputs!$C$10/12, Inputs!$D$10, Inputs!$B$10)</f>
        <v>534.63236058943744</v>
      </c>
      <c r="E492" s="3">
        <f>C492 * (Inputs!$C$10/12)</f>
        <v>153.08728948363097</v>
      </c>
      <c r="F492" s="6">
        <f t="shared" ref="F492:F549" si="40">D492 - E492</f>
        <v>381.54507110580647</v>
      </c>
      <c r="G492" s="6">
        <f t="shared" si="38"/>
        <v>25861.990268945214</v>
      </c>
      <c r="H492" s="7">
        <f t="shared" ref="H492:H523" si="41">D490</f>
        <v>534.63236058943744</v>
      </c>
    </row>
    <row r="493" spans="1:8" x14ac:dyDescent="0.35">
      <c r="A493" s="2" t="str">
        <f>Inputs!$A$10</f>
        <v>L9</v>
      </c>
      <c r="B493" s="3">
        <v>4</v>
      </c>
      <c r="C493" s="6">
        <f t="shared" si="39"/>
        <v>25861.990268945214</v>
      </c>
      <c r="D493" s="6">
        <f>-PMT(Inputs!$C$10/12, Inputs!$D$10, Inputs!$B$10)</f>
        <v>534.63236058943744</v>
      </c>
      <c r="E493" s="3">
        <f>C493 * (Inputs!$C$10/12)</f>
        <v>150.86160990218042</v>
      </c>
      <c r="F493" s="6">
        <f t="shared" si="40"/>
        <v>383.77075068725702</v>
      </c>
      <c r="G493" s="6">
        <f t="shared" si="38"/>
        <v>25478.219518257956</v>
      </c>
      <c r="H493" s="7">
        <f t="shared" si="41"/>
        <v>534.63236058943744</v>
      </c>
    </row>
    <row r="494" spans="1:8" x14ac:dyDescent="0.35">
      <c r="A494" s="2" t="str">
        <f>Inputs!$A$10</f>
        <v>L9</v>
      </c>
      <c r="B494" s="3">
        <v>5</v>
      </c>
      <c r="C494" s="6">
        <f t="shared" si="39"/>
        <v>25478.219518257956</v>
      </c>
      <c r="D494" s="6">
        <f>-PMT(Inputs!$C$10/12, Inputs!$D$10, Inputs!$B$10)</f>
        <v>534.63236058943744</v>
      </c>
      <c r="E494" s="3">
        <f>C494 * (Inputs!$C$10/12)</f>
        <v>148.62294718983807</v>
      </c>
      <c r="F494" s="6">
        <f t="shared" si="40"/>
        <v>386.00941339959934</v>
      </c>
      <c r="G494" s="6">
        <f t="shared" si="38"/>
        <v>25092.210104858357</v>
      </c>
      <c r="H494" s="7">
        <f t="shared" si="41"/>
        <v>534.63236058943744</v>
      </c>
    </row>
    <row r="495" spans="1:8" x14ac:dyDescent="0.35">
      <c r="A495" s="2" t="str">
        <f>Inputs!$A$10</f>
        <v>L9</v>
      </c>
      <c r="B495" s="3">
        <v>6</v>
      </c>
      <c r="C495" s="6">
        <f t="shared" si="39"/>
        <v>25092.210104858357</v>
      </c>
      <c r="D495" s="6">
        <f>-PMT(Inputs!$C$10/12, Inputs!$D$10, Inputs!$B$10)</f>
        <v>534.63236058943744</v>
      </c>
      <c r="E495" s="3">
        <f>C495 * (Inputs!$C$10/12)</f>
        <v>146.37122561167376</v>
      </c>
      <c r="F495" s="6">
        <f t="shared" si="40"/>
        <v>388.26113497776367</v>
      </c>
      <c r="G495" s="6">
        <f t="shared" si="38"/>
        <v>24703.948969880592</v>
      </c>
      <c r="H495" s="7">
        <f t="shared" si="41"/>
        <v>534.63236058943744</v>
      </c>
    </row>
    <row r="496" spans="1:8" x14ac:dyDescent="0.35">
      <c r="A496" s="2" t="str">
        <f>Inputs!$A$10</f>
        <v>L9</v>
      </c>
      <c r="B496" s="3">
        <v>7</v>
      </c>
      <c r="C496" s="6">
        <f t="shared" si="39"/>
        <v>24703.948969880592</v>
      </c>
      <c r="D496" s="6">
        <f>-PMT(Inputs!$C$10/12, Inputs!$D$10, Inputs!$B$10)</f>
        <v>534.63236058943744</v>
      </c>
      <c r="E496" s="3">
        <f>C496 * (Inputs!$C$10/12)</f>
        <v>144.10636899097014</v>
      </c>
      <c r="F496" s="6">
        <f t="shared" si="40"/>
        <v>390.52599159846727</v>
      </c>
      <c r="G496" s="6">
        <f t="shared" si="38"/>
        <v>24313.422978282124</v>
      </c>
      <c r="H496" s="7">
        <f t="shared" si="41"/>
        <v>534.63236058943744</v>
      </c>
    </row>
    <row r="497" spans="1:8" x14ac:dyDescent="0.35">
      <c r="A497" s="2" t="str">
        <f>Inputs!$A$10</f>
        <v>L9</v>
      </c>
      <c r="B497" s="3">
        <v>8</v>
      </c>
      <c r="C497" s="6">
        <f t="shared" si="39"/>
        <v>24313.422978282124</v>
      </c>
      <c r="D497" s="6">
        <f>-PMT(Inputs!$C$10/12, Inputs!$D$10, Inputs!$B$10)</f>
        <v>534.63236058943744</v>
      </c>
      <c r="E497" s="3">
        <f>C497 * (Inputs!$C$10/12)</f>
        <v>141.82830070664573</v>
      </c>
      <c r="F497" s="6">
        <f t="shared" si="40"/>
        <v>392.80405988279171</v>
      </c>
      <c r="G497" s="6">
        <f t="shared" si="38"/>
        <v>23920.618918399334</v>
      </c>
      <c r="H497" s="7">
        <f t="shared" si="41"/>
        <v>534.63236058943744</v>
      </c>
    </row>
    <row r="498" spans="1:8" x14ac:dyDescent="0.35">
      <c r="A498" s="2" t="str">
        <f>Inputs!$A$10</f>
        <v>L9</v>
      </c>
      <c r="B498" s="3">
        <v>9</v>
      </c>
      <c r="C498" s="6">
        <f t="shared" si="39"/>
        <v>23920.618918399334</v>
      </c>
      <c r="D498" s="6">
        <f>-PMT(Inputs!$C$10/12, Inputs!$D$10, Inputs!$B$10)</f>
        <v>534.63236058943744</v>
      </c>
      <c r="E498" s="3">
        <f>C498 * (Inputs!$C$10/12)</f>
        <v>139.53694369066278</v>
      </c>
      <c r="F498" s="6">
        <f t="shared" si="40"/>
        <v>395.09541689877466</v>
      </c>
      <c r="G498" s="6">
        <f t="shared" si="38"/>
        <v>23525.52350150056</v>
      </c>
      <c r="H498" s="7">
        <f t="shared" si="41"/>
        <v>534.63236058943744</v>
      </c>
    </row>
    <row r="499" spans="1:8" x14ac:dyDescent="0.35">
      <c r="A499" s="2" t="str">
        <f>Inputs!$A$10</f>
        <v>L9</v>
      </c>
      <c r="B499" s="3">
        <v>10</v>
      </c>
      <c r="C499" s="6">
        <f t="shared" si="39"/>
        <v>23525.52350150056</v>
      </c>
      <c r="D499" s="6">
        <f>-PMT(Inputs!$C$10/12, Inputs!$D$10, Inputs!$B$10)</f>
        <v>534.63236058943744</v>
      </c>
      <c r="E499" s="3">
        <f>C499 * (Inputs!$C$10/12)</f>
        <v>137.23222042541994</v>
      </c>
      <c r="F499" s="6">
        <f t="shared" si="40"/>
        <v>397.4001401640175</v>
      </c>
      <c r="G499" s="6">
        <f t="shared" si="38"/>
        <v>23128.123361336544</v>
      </c>
      <c r="H499" s="7">
        <f t="shared" si="41"/>
        <v>534.63236058943744</v>
      </c>
    </row>
    <row r="500" spans="1:8" x14ac:dyDescent="0.35">
      <c r="A500" s="2" t="str">
        <f>Inputs!$A$10</f>
        <v>L9</v>
      </c>
      <c r="B500" s="3">
        <v>11</v>
      </c>
      <c r="C500" s="6">
        <f t="shared" si="39"/>
        <v>23128.123361336544</v>
      </c>
      <c r="D500" s="6">
        <f>-PMT(Inputs!$C$10/12, Inputs!$D$10, Inputs!$B$10)</f>
        <v>534.63236058943744</v>
      </c>
      <c r="E500" s="3">
        <f>C500 * (Inputs!$C$10/12)</f>
        <v>134.91405294112985</v>
      </c>
      <c r="F500" s="6">
        <f t="shared" si="40"/>
        <v>399.71830764830759</v>
      </c>
      <c r="G500" s="6">
        <f t="shared" si="38"/>
        <v>22728.405053688235</v>
      </c>
      <c r="H500" s="7">
        <f t="shared" si="41"/>
        <v>534.63236058943744</v>
      </c>
    </row>
    <row r="501" spans="1:8" x14ac:dyDescent="0.35">
      <c r="A501" s="2" t="str">
        <f>Inputs!$A$10</f>
        <v>L9</v>
      </c>
      <c r="B501" s="3">
        <v>12</v>
      </c>
      <c r="C501" s="6">
        <f t="shared" si="39"/>
        <v>22728.405053688235</v>
      </c>
      <c r="D501" s="6">
        <f>-PMT(Inputs!$C$10/12, Inputs!$D$10, Inputs!$B$10)</f>
        <v>534.63236058943744</v>
      </c>
      <c r="E501" s="3">
        <f>C501 * (Inputs!$C$10/12)</f>
        <v>132.58236281318139</v>
      </c>
      <c r="F501" s="6">
        <f t="shared" si="40"/>
        <v>402.04999777625608</v>
      </c>
      <c r="G501" s="6">
        <f t="shared" si="38"/>
        <v>22326.355055911979</v>
      </c>
      <c r="H501" s="7">
        <f t="shared" si="41"/>
        <v>534.63236058943744</v>
      </c>
    </row>
    <row r="502" spans="1:8" x14ac:dyDescent="0.35">
      <c r="A502" s="2" t="str">
        <f>Inputs!$A$10</f>
        <v>L9</v>
      </c>
      <c r="B502" s="3">
        <v>13</v>
      </c>
      <c r="C502" s="6">
        <f t="shared" si="39"/>
        <v>22326.355055911979</v>
      </c>
      <c r="D502" s="6">
        <f>-PMT(Inputs!$C$10/12, Inputs!$D$10, Inputs!$B$10)</f>
        <v>534.63236058943744</v>
      </c>
      <c r="E502" s="3">
        <f>C502 * (Inputs!$C$10/12)</f>
        <v>130.23707115948656</v>
      </c>
      <c r="F502" s="6">
        <f t="shared" si="40"/>
        <v>404.39528942995088</v>
      </c>
      <c r="G502" s="6">
        <f t="shared" si="38"/>
        <v>21921.959766482028</v>
      </c>
      <c r="H502" s="7">
        <f t="shared" si="41"/>
        <v>534.63236058943744</v>
      </c>
    </row>
    <row r="503" spans="1:8" x14ac:dyDescent="0.35">
      <c r="A503" s="2" t="str">
        <f>Inputs!$A$10</f>
        <v>L9</v>
      </c>
      <c r="B503" s="3">
        <v>14</v>
      </c>
      <c r="C503" s="6">
        <f t="shared" si="39"/>
        <v>21921.959766482028</v>
      </c>
      <c r="D503" s="6">
        <f>-PMT(Inputs!$C$10/12, Inputs!$D$10, Inputs!$B$10)</f>
        <v>534.63236058943744</v>
      </c>
      <c r="E503" s="3">
        <f>C503 * (Inputs!$C$10/12)</f>
        <v>127.87809863781185</v>
      </c>
      <c r="F503" s="6">
        <f t="shared" si="40"/>
        <v>406.75426195162561</v>
      </c>
      <c r="G503" s="6">
        <f t="shared" si="38"/>
        <v>21515.205504530404</v>
      </c>
      <c r="H503" s="7">
        <f t="shared" si="41"/>
        <v>534.63236058943744</v>
      </c>
    </row>
    <row r="504" spans="1:8" x14ac:dyDescent="0.35">
      <c r="A504" s="2" t="str">
        <f>Inputs!$A$10</f>
        <v>L9</v>
      </c>
      <c r="B504" s="3">
        <v>15</v>
      </c>
      <c r="C504" s="6">
        <f t="shared" si="39"/>
        <v>21515.205504530404</v>
      </c>
      <c r="D504" s="6">
        <f>-PMT(Inputs!$C$10/12, Inputs!$D$10, Inputs!$B$10)</f>
        <v>534.63236058943744</v>
      </c>
      <c r="E504" s="3">
        <f>C504 * (Inputs!$C$10/12)</f>
        <v>125.50536544309404</v>
      </c>
      <c r="F504" s="6">
        <f t="shared" si="40"/>
        <v>409.1269951463434</v>
      </c>
      <c r="G504" s="6">
        <f t="shared" si="38"/>
        <v>21106.07850938406</v>
      </c>
      <c r="H504" s="7">
        <f t="shared" si="41"/>
        <v>534.63236058943744</v>
      </c>
    </row>
    <row r="505" spans="1:8" x14ac:dyDescent="0.35">
      <c r="A505" s="2" t="str">
        <f>Inputs!$A$10</f>
        <v>L9</v>
      </c>
      <c r="B505" s="3">
        <v>16</v>
      </c>
      <c r="C505" s="6">
        <f t="shared" si="39"/>
        <v>21106.07850938406</v>
      </c>
      <c r="D505" s="6">
        <f>-PMT(Inputs!$C$10/12, Inputs!$D$10, Inputs!$B$10)</f>
        <v>534.63236058943744</v>
      </c>
      <c r="E505" s="3">
        <f>C505 * (Inputs!$C$10/12)</f>
        <v>123.11879130474036</v>
      </c>
      <c r="F505" s="6">
        <f t="shared" si="40"/>
        <v>411.5135692846971</v>
      </c>
      <c r="G505" s="6">
        <f t="shared" si="38"/>
        <v>20694.564940099364</v>
      </c>
      <c r="H505" s="7">
        <f t="shared" si="41"/>
        <v>534.63236058943744</v>
      </c>
    </row>
    <row r="506" spans="1:8" x14ac:dyDescent="0.35">
      <c r="A506" s="2" t="str">
        <f>Inputs!$A$10</f>
        <v>L9</v>
      </c>
      <c r="B506" s="3">
        <v>17</v>
      </c>
      <c r="C506" s="6">
        <f t="shared" si="39"/>
        <v>20694.564940099364</v>
      </c>
      <c r="D506" s="6">
        <f>-PMT(Inputs!$C$10/12, Inputs!$D$10, Inputs!$B$10)</f>
        <v>534.63236058943744</v>
      </c>
      <c r="E506" s="3">
        <f>C506 * (Inputs!$C$10/12)</f>
        <v>120.71829548391297</v>
      </c>
      <c r="F506" s="6">
        <f t="shared" si="40"/>
        <v>413.91406510552446</v>
      </c>
      <c r="G506" s="6">
        <f t="shared" si="38"/>
        <v>20280.65087499384</v>
      </c>
      <c r="H506" s="7">
        <f t="shared" si="41"/>
        <v>534.63236058943744</v>
      </c>
    </row>
    <row r="507" spans="1:8" x14ac:dyDescent="0.35">
      <c r="A507" s="2" t="str">
        <f>Inputs!$A$10</f>
        <v>L9</v>
      </c>
      <c r="B507" s="3">
        <v>18</v>
      </c>
      <c r="C507" s="6">
        <f t="shared" si="39"/>
        <v>20280.65087499384</v>
      </c>
      <c r="D507" s="6">
        <f>-PMT(Inputs!$C$10/12, Inputs!$D$10, Inputs!$B$10)</f>
        <v>534.63236058943744</v>
      </c>
      <c r="E507" s="3">
        <f>C507 * (Inputs!$C$10/12)</f>
        <v>118.3037967707974</v>
      </c>
      <c r="F507" s="6">
        <f t="shared" si="40"/>
        <v>416.32856381864002</v>
      </c>
      <c r="G507" s="6">
        <f t="shared" si="38"/>
        <v>19864.322311175201</v>
      </c>
      <c r="H507" s="7">
        <f t="shared" si="41"/>
        <v>534.63236058943744</v>
      </c>
    </row>
    <row r="508" spans="1:8" x14ac:dyDescent="0.35">
      <c r="A508" s="2" t="str">
        <f>Inputs!$A$10</f>
        <v>L9</v>
      </c>
      <c r="B508" s="3">
        <v>19</v>
      </c>
      <c r="C508" s="6">
        <f t="shared" si="39"/>
        <v>19864.322311175201</v>
      </c>
      <c r="D508" s="6">
        <f>-PMT(Inputs!$C$10/12, Inputs!$D$10, Inputs!$B$10)</f>
        <v>534.63236058943744</v>
      </c>
      <c r="E508" s="3">
        <f>C508 * (Inputs!$C$10/12)</f>
        <v>115.87521348185534</v>
      </c>
      <c r="F508" s="6">
        <f t="shared" si="40"/>
        <v>418.75714710758211</v>
      </c>
      <c r="G508" s="6">
        <f t="shared" si="38"/>
        <v>19445.565164067619</v>
      </c>
      <c r="H508" s="7">
        <f t="shared" si="41"/>
        <v>534.63236058943744</v>
      </c>
    </row>
    <row r="509" spans="1:8" x14ac:dyDescent="0.35">
      <c r="A509" s="2" t="str">
        <f>Inputs!$A$10</f>
        <v>L9</v>
      </c>
      <c r="B509" s="3">
        <v>20</v>
      </c>
      <c r="C509" s="6">
        <f t="shared" si="39"/>
        <v>19445.565164067619</v>
      </c>
      <c r="D509" s="6">
        <f>-PMT(Inputs!$C$10/12, Inputs!$D$10, Inputs!$B$10)</f>
        <v>534.63236058943744</v>
      </c>
      <c r="E509" s="3">
        <f>C509 * (Inputs!$C$10/12)</f>
        <v>113.43246345706112</v>
      </c>
      <c r="F509" s="6">
        <f t="shared" si="40"/>
        <v>421.19989713237635</v>
      </c>
      <c r="G509" s="6">
        <f t="shared" si="38"/>
        <v>19024.365266935241</v>
      </c>
      <c r="H509" s="7">
        <f t="shared" si="41"/>
        <v>534.63236058943744</v>
      </c>
    </row>
    <row r="510" spans="1:8" x14ac:dyDescent="0.35">
      <c r="A510" s="2" t="str">
        <f>Inputs!$A$10</f>
        <v>L9</v>
      </c>
      <c r="B510" s="3">
        <v>21</v>
      </c>
      <c r="C510" s="6">
        <f t="shared" si="39"/>
        <v>19024.365266935241</v>
      </c>
      <c r="D510" s="6">
        <f>-PMT(Inputs!$C$10/12, Inputs!$D$10, Inputs!$B$10)</f>
        <v>534.63236058943744</v>
      </c>
      <c r="E510" s="3">
        <f>C510 * (Inputs!$C$10/12)</f>
        <v>110.97546405712225</v>
      </c>
      <c r="F510" s="6">
        <f t="shared" si="40"/>
        <v>423.65689653231516</v>
      </c>
      <c r="G510" s="6">
        <f t="shared" si="38"/>
        <v>18600.708370402925</v>
      </c>
      <c r="H510" s="7">
        <f t="shared" si="41"/>
        <v>534.63236058943744</v>
      </c>
    </row>
    <row r="511" spans="1:8" x14ac:dyDescent="0.35">
      <c r="A511" s="2" t="str">
        <f>Inputs!$A$10</f>
        <v>L9</v>
      </c>
      <c r="B511" s="3">
        <v>22</v>
      </c>
      <c r="C511" s="6">
        <f t="shared" si="39"/>
        <v>18600.708370402925</v>
      </c>
      <c r="D511" s="6">
        <f>-PMT(Inputs!$C$10/12, Inputs!$D$10, Inputs!$B$10)</f>
        <v>534.63236058943744</v>
      </c>
      <c r="E511" s="3">
        <f>C511 * (Inputs!$C$10/12)</f>
        <v>108.50413216068374</v>
      </c>
      <c r="F511" s="6">
        <f t="shared" si="40"/>
        <v>426.12822842875369</v>
      </c>
      <c r="G511" s="6">
        <f t="shared" si="38"/>
        <v>18174.580141974169</v>
      </c>
      <c r="H511" s="7">
        <f t="shared" si="41"/>
        <v>534.63236058943744</v>
      </c>
    </row>
    <row r="512" spans="1:8" x14ac:dyDescent="0.35">
      <c r="A512" s="2" t="str">
        <f>Inputs!$A$10</f>
        <v>L9</v>
      </c>
      <c r="B512" s="3">
        <v>23</v>
      </c>
      <c r="C512" s="6">
        <f t="shared" si="39"/>
        <v>18174.580141974169</v>
      </c>
      <c r="D512" s="6">
        <f>-PMT(Inputs!$C$10/12, Inputs!$D$10, Inputs!$B$10)</f>
        <v>534.63236058943744</v>
      </c>
      <c r="E512" s="3">
        <f>C512 * (Inputs!$C$10/12)</f>
        <v>106.018384161516</v>
      </c>
      <c r="F512" s="6">
        <f t="shared" si="40"/>
        <v>428.61397642792144</v>
      </c>
      <c r="G512" s="6">
        <f t="shared" si="38"/>
        <v>17745.966165546248</v>
      </c>
      <c r="H512" s="7">
        <f t="shared" si="41"/>
        <v>534.63236058943744</v>
      </c>
    </row>
    <row r="513" spans="1:8" x14ac:dyDescent="0.35">
      <c r="A513" s="2" t="str">
        <f>Inputs!$A$10</f>
        <v>L9</v>
      </c>
      <c r="B513" s="3">
        <v>24</v>
      </c>
      <c r="C513" s="6">
        <f t="shared" si="39"/>
        <v>17745.966165546248</v>
      </c>
      <c r="D513" s="6">
        <f>-PMT(Inputs!$C$10/12, Inputs!$D$10, Inputs!$B$10)</f>
        <v>534.63236058943744</v>
      </c>
      <c r="E513" s="3">
        <f>C513 * (Inputs!$C$10/12)</f>
        <v>103.51813596568645</v>
      </c>
      <c r="F513" s="6">
        <f t="shared" si="40"/>
        <v>431.114224623751</v>
      </c>
      <c r="G513" s="6">
        <f t="shared" si="38"/>
        <v>17314.851940922497</v>
      </c>
      <c r="H513" s="7">
        <f t="shared" si="41"/>
        <v>534.63236058943744</v>
      </c>
    </row>
    <row r="514" spans="1:8" x14ac:dyDescent="0.35">
      <c r="A514" s="2" t="str">
        <f>Inputs!$A$10</f>
        <v>L9</v>
      </c>
      <c r="B514" s="3">
        <v>25</v>
      </c>
      <c r="C514" s="6">
        <f t="shared" si="39"/>
        <v>17314.851940922497</v>
      </c>
      <c r="D514" s="6">
        <f>-PMT(Inputs!$C$10/12, Inputs!$D$10, Inputs!$B$10)</f>
        <v>534.63236058943744</v>
      </c>
      <c r="E514" s="3">
        <f>C514 * (Inputs!$C$10/12)</f>
        <v>101.00330298871457</v>
      </c>
      <c r="F514" s="6">
        <f t="shared" si="40"/>
        <v>433.62905760072289</v>
      </c>
      <c r="G514" s="6">
        <f t="shared" si="38"/>
        <v>16881.222883321774</v>
      </c>
      <c r="H514" s="7">
        <f t="shared" si="41"/>
        <v>534.63236058943744</v>
      </c>
    </row>
    <row r="515" spans="1:8" x14ac:dyDescent="0.35">
      <c r="A515" s="2" t="str">
        <f>Inputs!$A$10</f>
        <v>L9</v>
      </c>
      <c r="B515" s="3">
        <v>26</v>
      </c>
      <c r="C515" s="6">
        <f t="shared" si="39"/>
        <v>16881.222883321774</v>
      </c>
      <c r="D515" s="6">
        <f>-PMT(Inputs!$C$10/12, Inputs!$D$10, Inputs!$B$10)</f>
        <v>534.63236058943744</v>
      </c>
      <c r="E515" s="3">
        <f>C515 * (Inputs!$C$10/12)</f>
        <v>98.473800152710353</v>
      </c>
      <c r="F515" s="6">
        <f t="shared" si="40"/>
        <v>436.1585604367271</v>
      </c>
      <c r="G515" s="6">
        <f t="shared" si="38"/>
        <v>16445.064322885046</v>
      </c>
      <c r="H515" s="7">
        <f t="shared" si="41"/>
        <v>534.63236058943744</v>
      </c>
    </row>
    <row r="516" spans="1:8" x14ac:dyDescent="0.35">
      <c r="A516" s="2" t="str">
        <f>Inputs!$A$10</f>
        <v>L9</v>
      </c>
      <c r="B516" s="3">
        <v>27</v>
      </c>
      <c r="C516" s="6">
        <f t="shared" si="39"/>
        <v>16445.064322885046</v>
      </c>
      <c r="D516" s="6">
        <f>-PMT(Inputs!$C$10/12, Inputs!$D$10, Inputs!$B$10)</f>
        <v>534.63236058943744</v>
      </c>
      <c r="E516" s="3">
        <f>C516 * (Inputs!$C$10/12)</f>
        <v>95.9295418834961</v>
      </c>
      <c r="F516" s="6">
        <f t="shared" si="40"/>
        <v>438.70281870594135</v>
      </c>
      <c r="G516" s="6">
        <f t="shared" si="38"/>
        <v>16006.361504179105</v>
      </c>
      <c r="H516" s="7">
        <f t="shared" si="41"/>
        <v>534.63236058943744</v>
      </c>
    </row>
    <row r="517" spans="1:8" x14ac:dyDescent="0.35">
      <c r="A517" s="2" t="str">
        <f>Inputs!$A$10</f>
        <v>L9</v>
      </c>
      <c r="B517" s="3">
        <v>28</v>
      </c>
      <c r="C517" s="6">
        <f t="shared" si="39"/>
        <v>16006.361504179105</v>
      </c>
      <c r="D517" s="6">
        <f>-PMT(Inputs!$C$10/12, Inputs!$D$10, Inputs!$B$10)</f>
        <v>534.63236058943744</v>
      </c>
      <c r="E517" s="3">
        <f>C517 * (Inputs!$C$10/12)</f>
        <v>93.370442107711455</v>
      </c>
      <c r="F517" s="6">
        <f t="shared" si="40"/>
        <v>441.26191848172596</v>
      </c>
      <c r="G517" s="6">
        <f t="shared" si="38"/>
        <v>15565.099585697379</v>
      </c>
      <c r="H517" s="7">
        <f t="shared" si="41"/>
        <v>534.63236058943744</v>
      </c>
    </row>
    <row r="518" spans="1:8" x14ac:dyDescent="0.35">
      <c r="A518" s="2" t="str">
        <f>Inputs!$A$10</f>
        <v>L9</v>
      </c>
      <c r="B518" s="3">
        <v>29</v>
      </c>
      <c r="C518" s="6">
        <f t="shared" si="39"/>
        <v>15565.099585697379</v>
      </c>
      <c r="D518" s="6">
        <f>-PMT(Inputs!$C$10/12, Inputs!$D$10, Inputs!$B$10)</f>
        <v>534.63236058943744</v>
      </c>
      <c r="E518" s="3">
        <f>C518 * (Inputs!$C$10/12)</f>
        <v>90.796414249901375</v>
      </c>
      <c r="F518" s="6">
        <f t="shared" si="40"/>
        <v>443.83594633953606</v>
      </c>
      <c r="G518" s="6">
        <f t="shared" si="38"/>
        <v>15121.263639357843</v>
      </c>
      <c r="H518" s="7">
        <f t="shared" si="41"/>
        <v>534.63236058943744</v>
      </c>
    </row>
    <row r="519" spans="1:8" x14ac:dyDescent="0.35">
      <c r="A519" s="2" t="str">
        <f>Inputs!$A$10</f>
        <v>L9</v>
      </c>
      <c r="B519" s="3">
        <v>30</v>
      </c>
      <c r="C519" s="6">
        <f t="shared" si="39"/>
        <v>15121.263639357843</v>
      </c>
      <c r="D519" s="6">
        <f>-PMT(Inputs!$C$10/12, Inputs!$D$10, Inputs!$B$10)</f>
        <v>534.63236058943744</v>
      </c>
      <c r="E519" s="3">
        <f>C519 * (Inputs!$C$10/12)</f>
        <v>88.207371229587423</v>
      </c>
      <c r="F519" s="6">
        <f t="shared" si="40"/>
        <v>446.42498935985003</v>
      </c>
      <c r="G519" s="6">
        <f t="shared" si="38"/>
        <v>14674.838649997993</v>
      </c>
      <c r="H519" s="7">
        <f t="shared" si="41"/>
        <v>534.63236058943744</v>
      </c>
    </row>
    <row r="520" spans="1:8" x14ac:dyDescent="0.35">
      <c r="A520" s="2" t="str">
        <f>Inputs!$A$10</f>
        <v>L9</v>
      </c>
      <c r="B520" s="3">
        <v>31</v>
      </c>
      <c r="C520" s="6">
        <f t="shared" si="39"/>
        <v>14674.838649997993</v>
      </c>
      <c r="D520" s="6">
        <f>-PMT(Inputs!$C$10/12, Inputs!$D$10, Inputs!$B$10)</f>
        <v>534.63236058943744</v>
      </c>
      <c r="E520" s="3">
        <f>C520 * (Inputs!$C$10/12)</f>
        <v>85.603225458321631</v>
      </c>
      <c r="F520" s="6">
        <f t="shared" si="40"/>
        <v>449.02913513111582</v>
      </c>
      <c r="G520" s="6">
        <f t="shared" si="38"/>
        <v>14225.809514866878</v>
      </c>
      <c r="H520" s="7">
        <f t="shared" si="41"/>
        <v>534.63236058943744</v>
      </c>
    </row>
    <row r="521" spans="1:8" x14ac:dyDescent="0.35">
      <c r="A521" s="2" t="str">
        <f>Inputs!$A$10</f>
        <v>L9</v>
      </c>
      <c r="B521" s="3">
        <v>32</v>
      </c>
      <c r="C521" s="6">
        <f t="shared" si="39"/>
        <v>14225.809514866878</v>
      </c>
      <c r="D521" s="6">
        <f>-PMT(Inputs!$C$10/12, Inputs!$D$10, Inputs!$B$10)</f>
        <v>534.63236058943744</v>
      </c>
      <c r="E521" s="3">
        <f>C521 * (Inputs!$C$10/12)</f>
        <v>82.983888836723466</v>
      </c>
      <c r="F521" s="6">
        <f t="shared" si="40"/>
        <v>451.64847175271399</v>
      </c>
      <c r="G521" s="6">
        <f t="shared" si="38"/>
        <v>13774.161043114163</v>
      </c>
      <c r="H521" s="7">
        <f t="shared" si="41"/>
        <v>534.63236058943744</v>
      </c>
    </row>
    <row r="522" spans="1:8" x14ac:dyDescent="0.35">
      <c r="A522" s="2" t="str">
        <f>Inputs!$A$10</f>
        <v>L9</v>
      </c>
      <c r="B522" s="3">
        <v>33</v>
      </c>
      <c r="C522" s="6">
        <f t="shared" si="39"/>
        <v>13774.161043114163</v>
      </c>
      <c r="D522" s="6">
        <f>-PMT(Inputs!$C$10/12, Inputs!$D$10, Inputs!$B$10)</f>
        <v>534.63236058943744</v>
      </c>
      <c r="E522" s="3">
        <f>C522 * (Inputs!$C$10/12)</f>
        <v>80.349272751499285</v>
      </c>
      <c r="F522" s="6">
        <f t="shared" si="40"/>
        <v>454.28308783793818</v>
      </c>
      <c r="G522" s="6">
        <f t="shared" si="38"/>
        <v>13319.877955276224</v>
      </c>
      <c r="H522" s="7">
        <f t="shared" si="41"/>
        <v>534.63236058943744</v>
      </c>
    </row>
    <row r="523" spans="1:8" x14ac:dyDescent="0.35">
      <c r="A523" s="2" t="str">
        <f>Inputs!$A$10</f>
        <v>L9</v>
      </c>
      <c r="B523" s="3">
        <v>34</v>
      </c>
      <c r="C523" s="6">
        <f t="shared" si="39"/>
        <v>13319.877955276224</v>
      </c>
      <c r="D523" s="6">
        <f>-PMT(Inputs!$C$10/12, Inputs!$D$10, Inputs!$B$10)</f>
        <v>534.63236058943744</v>
      </c>
      <c r="E523" s="3">
        <f>C523 * (Inputs!$C$10/12)</f>
        <v>77.699288072444645</v>
      </c>
      <c r="F523" s="6">
        <f t="shared" si="40"/>
        <v>456.93307251699281</v>
      </c>
      <c r="G523" s="6">
        <f t="shared" si="38"/>
        <v>12862.944882759231</v>
      </c>
      <c r="H523" s="7">
        <f t="shared" si="41"/>
        <v>534.63236058943744</v>
      </c>
    </row>
    <row r="524" spans="1:8" x14ac:dyDescent="0.35">
      <c r="A524" s="2" t="str">
        <f>Inputs!$A$10</f>
        <v>L9</v>
      </c>
      <c r="B524" s="3">
        <v>35</v>
      </c>
      <c r="C524" s="6">
        <f t="shared" si="39"/>
        <v>12862.944882759231</v>
      </c>
      <c r="D524" s="6">
        <f>-PMT(Inputs!$C$10/12, Inputs!$D$10, Inputs!$B$10)</f>
        <v>534.63236058943744</v>
      </c>
      <c r="E524" s="3">
        <f>C524 * (Inputs!$C$10/12)</f>
        <v>75.033845149428856</v>
      </c>
      <c r="F524" s="6">
        <f t="shared" si="40"/>
        <v>459.59851544000855</v>
      </c>
      <c r="G524" s="6">
        <f t="shared" si="38"/>
        <v>12403.346367319224</v>
      </c>
      <c r="H524" s="7">
        <f t="shared" ref="H524:H548" si="42">D522</f>
        <v>534.63236058943744</v>
      </c>
    </row>
    <row r="525" spans="1:8" x14ac:dyDescent="0.35">
      <c r="A525" s="2" t="str">
        <f>Inputs!$A$10</f>
        <v>L9</v>
      </c>
      <c r="B525" s="3">
        <v>36</v>
      </c>
      <c r="C525" s="6">
        <f t="shared" si="39"/>
        <v>12403.346367319224</v>
      </c>
      <c r="D525" s="6">
        <f>-PMT(Inputs!$C$10/12, Inputs!$D$10, Inputs!$B$10)</f>
        <v>534.63236058943744</v>
      </c>
      <c r="E525" s="3">
        <f>C525 * (Inputs!$C$10/12)</f>
        <v>72.352853809362145</v>
      </c>
      <c r="F525" s="6">
        <f t="shared" si="40"/>
        <v>462.27950678007528</v>
      </c>
      <c r="G525" s="6">
        <f t="shared" si="38"/>
        <v>11941.066860539147</v>
      </c>
      <c r="H525" s="7">
        <f t="shared" si="42"/>
        <v>534.63236058943744</v>
      </c>
    </row>
    <row r="526" spans="1:8" x14ac:dyDescent="0.35">
      <c r="A526" s="2" t="str">
        <f>Inputs!$A$10</f>
        <v>L9</v>
      </c>
      <c r="B526" s="3">
        <v>37</v>
      </c>
      <c r="C526" s="6">
        <f t="shared" si="39"/>
        <v>11941.066860539147</v>
      </c>
      <c r="D526" s="6">
        <f>-PMT(Inputs!$C$10/12, Inputs!$D$10, Inputs!$B$10)</f>
        <v>534.63236058943744</v>
      </c>
      <c r="E526" s="3">
        <f>C526 * (Inputs!$C$10/12)</f>
        <v>69.656223353145023</v>
      </c>
      <c r="F526" s="6">
        <f t="shared" si="40"/>
        <v>464.9761372362924</v>
      </c>
      <c r="G526" s="6">
        <f t="shared" si="38"/>
        <v>11476.090723302856</v>
      </c>
      <c r="H526" s="7">
        <f t="shared" si="42"/>
        <v>534.63236058943744</v>
      </c>
    </row>
    <row r="527" spans="1:8" x14ac:dyDescent="0.35">
      <c r="A527" s="2" t="str">
        <f>Inputs!$A$10</f>
        <v>L9</v>
      </c>
      <c r="B527" s="3">
        <v>38</v>
      </c>
      <c r="C527" s="6">
        <f t="shared" si="39"/>
        <v>11476.090723302856</v>
      </c>
      <c r="D527" s="6">
        <f>-PMT(Inputs!$C$10/12, Inputs!$D$10, Inputs!$B$10)</f>
        <v>534.63236058943744</v>
      </c>
      <c r="E527" s="3">
        <f>C527 * (Inputs!$C$10/12)</f>
        <v>66.943862552599995</v>
      </c>
      <c r="F527" s="6">
        <f t="shared" si="40"/>
        <v>467.68849803683747</v>
      </c>
      <c r="G527" s="6">
        <f t="shared" si="38"/>
        <v>11008.402225266018</v>
      </c>
      <c r="H527" s="7">
        <f t="shared" si="42"/>
        <v>534.63236058943744</v>
      </c>
    </row>
    <row r="528" spans="1:8" x14ac:dyDescent="0.35">
      <c r="A528" s="2" t="str">
        <f>Inputs!$A$10</f>
        <v>L9</v>
      </c>
      <c r="B528" s="3">
        <v>39</v>
      </c>
      <c r="C528" s="6">
        <f t="shared" si="39"/>
        <v>11008.402225266018</v>
      </c>
      <c r="D528" s="6">
        <f>-PMT(Inputs!$C$10/12, Inputs!$D$10, Inputs!$B$10)</f>
        <v>534.63236058943744</v>
      </c>
      <c r="E528" s="3">
        <f>C528 * (Inputs!$C$10/12)</f>
        <v>64.215679647385102</v>
      </c>
      <c r="F528" s="6">
        <f t="shared" si="40"/>
        <v>470.41668094205232</v>
      </c>
      <c r="G528" s="6">
        <f t="shared" si="38"/>
        <v>10537.985544323965</v>
      </c>
      <c r="H528" s="7">
        <f t="shared" si="42"/>
        <v>534.63236058943744</v>
      </c>
    </row>
    <row r="529" spans="1:8" x14ac:dyDescent="0.35">
      <c r="A529" s="2" t="str">
        <f>Inputs!$A$10</f>
        <v>L9</v>
      </c>
      <c r="B529" s="3">
        <v>40</v>
      </c>
      <c r="C529" s="6">
        <f t="shared" si="39"/>
        <v>10537.985544323965</v>
      </c>
      <c r="D529" s="6">
        <f>-PMT(Inputs!$C$10/12, Inputs!$D$10, Inputs!$B$10)</f>
        <v>534.63236058943744</v>
      </c>
      <c r="E529" s="3">
        <f>C529 * (Inputs!$C$10/12)</f>
        <v>61.4715823418898</v>
      </c>
      <c r="F529" s="6">
        <f t="shared" si="40"/>
        <v>473.16077824754763</v>
      </c>
      <c r="G529" s="6">
        <f t="shared" si="38"/>
        <v>10064.824766076417</v>
      </c>
      <c r="H529" s="7">
        <f t="shared" si="42"/>
        <v>534.63236058943744</v>
      </c>
    </row>
    <row r="530" spans="1:8" x14ac:dyDescent="0.35">
      <c r="A530" s="2" t="str">
        <f>Inputs!$A$10</f>
        <v>L9</v>
      </c>
      <c r="B530" s="3">
        <v>41</v>
      </c>
      <c r="C530" s="6">
        <f t="shared" si="39"/>
        <v>10064.824766076417</v>
      </c>
      <c r="D530" s="6">
        <f>-PMT(Inputs!$C$10/12, Inputs!$D$10, Inputs!$B$10)</f>
        <v>534.63236058943744</v>
      </c>
      <c r="E530" s="3">
        <f>C530 * (Inputs!$C$10/12)</f>
        <v>58.711477802112434</v>
      </c>
      <c r="F530" s="6">
        <f t="shared" si="40"/>
        <v>475.92088278732501</v>
      </c>
      <c r="G530" s="6">
        <f t="shared" si="38"/>
        <v>9588.9038832890928</v>
      </c>
      <c r="H530" s="7">
        <f t="shared" si="42"/>
        <v>534.63236058943744</v>
      </c>
    </row>
    <row r="531" spans="1:8" x14ac:dyDescent="0.35">
      <c r="A531" s="2" t="str">
        <f>Inputs!$A$10</f>
        <v>L9</v>
      </c>
      <c r="B531" s="3">
        <v>42</v>
      </c>
      <c r="C531" s="6">
        <f t="shared" si="39"/>
        <v>9588.9038832890928</v>
      </c>
      <c r="D531" s="6">
        <f>-PMT(Inputs!$C$10/12, Inputs!$D$10, Inputs!$B$10)</f>
        <v>534.63236058943744</v>
      </c>
      <c r="E531" s="3">
        <f>C531 * (Inputs!$C$10/12)</f>
        <v>55.935272652519714</v>
      </c>
      <c r="F531" s="6">
        <f t="shared" si="40"/>
        <v>478.69708793691774</v>
      </c>
      <c r="G531" s="6">
        <f t="shared" si="38"/>
        <v>9110.2067953521746</v>
      </c>
      <c r="H531" s="7">
        <f t="shared" si="42"/>
        <v>534.63236058943744</v>
      </c>
    </row>
    <row r="532" spans="1:8" x14ac:dyDescent="0.35">
      <c r="A532" s="2" t="str">
        <f>Inputs!$A$10</f>
        <v>L9</v>
      </c>
      <c r="B532" s="3">
        <v>43</v>
      </c>
      <c r="C532" s="6">
        <f t="shared" si="39"/>
        <v>9110.2067953521746</v>
      </c>
      <c r="D532" s="6">
        <f>-PMT(Inputs!$C$10/12, Inputs!$D$10, Inputs!$B$10)</f>
        <v>534.63236058943744</v>
      </c>
      <c r="E532" s="3">
        <f>C532 * (Inputs!$C$10/12)</f>
        <v>53.142872972887687</v>
      </c>
      <c r="F532" s="6">
        <f t="shared" si="40"/>
        <v>481.48948761654975</v>
      </c>
      <c r="G532" s="6">
        <f t="shared" si="38"/>
        <v>8628.7173077356256</v>
      </c>
      <c r="H532" s="7">
        <f t="shared" si="42"/>
        <v>534.63236058943744</v>
      </c>
    </row>
    <row r="533" spans="1:8" x14ac:dyDescent="0.35">
      <c r="A533" s="2" t="str">
        <f>Inputs!$A$10</f>
        <v>L9</v>
      </c>
      <c r="B533" s="3">
        <v>44</v>
      </c>
      <c r="C533" s="6">
        <f t="shared" si="39"/>
        <v>8628.7173077356256</v>
      </c>
      <c r="D533" s="6">
        <f>-PMT(Inputs!$C$10/12, Inputs!$D$10, Inputs!$B$10)</f>
        <v>534.63236058943744</v>
      </c>
      <c r="E533" s="3">
        <f>C533 * (Inputs!$C$10/12)</f>
        <v>50.334184295124487</v>
      </c>
      <c r="F533" s="6">
        <f t="shared" si="40"/>
        <v>484.29817629431295</v>
      </c>
      <c r="G533" s="6">
        <f t="shared" si="38"/>
        <v>8144.4191314413129</v>
      </c>
      <c r="H533" s="7">
        <f t="shared" si="42"/>
        <v>534.63236058943744</v>
      </c>
    </row>
    <row r="534" spans="1:8" x14ac:dyDescent="0.35">
      <c r="A534" s="2" t="str">
        <f>Inputs!$A$10</f>
        <v>L9</v>
      </c>
      <c r="B534" s="3">
        <v>45</v>
      </c>
      <c r="C534" s="6">
        <f t="shared" si="39"/>
        <v>8144.4191314413129</v>
      </c>
      <c r="D534" s="6">
        <f>-PMT(Inputs!$C$10/12, Inputs!$D$10, Inputs!$B$10)</f>
        <v>534.63236058943744</v>
      </c>
      <c r="E534" s="3">
        <f>C534 * (Inputs!$C$10/12)</f>
        <v>47.509111600074327</v>
      </c>
      <c r="F534" s="6">
        <f t="shared" si="40"/>
        <v>487.12324898936311</v>
      </c>
      <c r="G534" s="6">
        <f t="shared" si="38"/>
        <v>7657.2958824519501</v>
      </c>
      <c r="H534" s="7">
        <f t="shared" si="42"/>
        <v>534.63236058943744</v>
      </c>
    </row>
    <row r="535" spans="1:8" x14ac:dyDescent="0.35">
      <c r="A535" s="2" t="str">
        <f>Inputs!$A$10</f>
        <v>L9</v>
      </c>
      <c r="B535" s="3">
        <v>46</v>
      </c>
      <c r="C535" s="6">
        <f t="shared" si="39"/>
        <v>7657.2958824519501</v>
      </c>
      <c r="D535" s="6">
        <f>-PMT(Inputs!$C$10/12, Inputs!$D$10, Inputs!$B$10)</f>
        <v>534.63236058943744</v>
      </c>
      <c r="E535" s="3">
        <f>C535 * (Inputs!$C$10/12)</f>
        <v>44.667559314303041</v>
      </c>
      <c r="F535" s="6">
        <f t="shared" si="40"/>
        <v>489.96480127513439</v>
      </c>
      <c r="G535" s="6">
        <f t="shared" si="38"/>
        <v>7167.331081176816</v>
      </c>
      <c r="H535" s="7">
        <f t="shared" si="42"/>
        <v>534.63236058943744</v>
      </c>
    </row>
    <row r="536" spans="1:8" x14ac:dyDescent="0.35">
      <c r="A536" s="2" t="str">
        <f>Inputs!$A$10</f>
        <v>L9</v>
      </c>
      <c r="B536" s="3">
        <v>47</v>
      </c>
      <c r="C536" s="6">
        <f t="shared" si="39"/>
        <v>7167.331081176816</v>
      </c>
      <c r="D536" s="6">
        <f>-PMT(Inputs!$C$10/12, Inputs!$D$10, Inputs!$B$10)</f>
        <v>534.63236058943744</v>
      </c>
      <c r="E536" s="3">
        <f>C536 * (Inputs!$C$10/12)</f>
        <v>41.809431306864759</v>
      </c>
      <c r="F536" s="6">
        <f t="shared" si="40"/>
        <v>492.82292928257266</v>
      </c>
      <c r="G536" s="6">
        <f t="shared" si="38"/>
        <v>6674.5081518942434</v>
      </c>
      <c r="H536" s="7">
        <f t="shared" si="42"/>
        <v>534.63236058943744</v>
      </c>
    </row>
    <row r="537" spans="1:8" x14ac:dyDescent="0.35">
      <c r="A537" s="2" t="str">
        <f>Inputs!$A$10</f>
        <v>L9</v>
      </c>
      <c r="B537" s="3">
        <v>48</v>
      </c>
      <c r="C537" s="6">
        <f t="shared" si="39"/>
        <v>6674.5081518942434</v>
      </c>
      <c r="D537" s="6">
        <f>-PMT(Inputs!$C$10/12, Inputs!$D$10, Inputs!$B$10)</f>
        <v>534.63236058943744</v>
      </c>
      <c r="E537" s="3">
        <f>C537 * (Inputs!$C$10/12)</f>
        <v>38.934630886049753</v>
      </c>
      <c r="F537" s="6">
        <f t="shared" si="40"/>
        <v>495.69772970338767</v>
      </c>
      <c r="G537" s="6">
        <f t="shared" si="38"/>
        <v>6178.8104221908561</v>
      </c>
      <c r="H537" s="7">
        <f t="shared" si="42"/>
        <v>534.63236058943744</v>
      </c>
    </row>
    <row r="538" spans="1:8" x14ac:dyDescent="0.35">
      <c r="A538" s="2" t="str">
        <f>Inputs!$A$10</f>
        <v>L9</v>
      </c>
      <c r="B538" s="3">
        <v>49</v>
      </c>
      <c r="C538" s="6">
        <f t="shared" si="39"/>
        <v>6178.8104221908561</v>
      </c>
      <c r="D538" s="6">
        <f>-PMT(Inputs!$C$10/12, Inputs!$D$10, Inputs!$B$10)</f>
        <v>534.63236058943744</v>
      </c>
      <c r="E538" s="3">
        <f>C538 * (Inputs!$C$10/12)</f>
        <v>36.04306079611333</v>
      </c>
      <c r="F538" s="6">
        <f t="shared" si="40"/>
        <v>498.58929979332413</v>
      </c>
      <c r="G538" s="6">
        <f t="shared" si="38"/>
        <v>5680.2211223975319</v>
      </c>
      <c r="H538" s="7">
        <f t="shared" si="42"/>
        <v>534.63236058943744</v>
      </c>
    </row>
    <row r="539" spans="1:8" x14ac:dyDescent="0.35">
      <c r="A539" s="2" t="str">
        <f>Inputs!$A$10</f>
        <v>L9</v>
      </c>
      <c r="B539" s="3">
        <v>50</v>
      </c>
      <c r="C539" s="6">
        <f t="shared" si="39"/>
        <v>5680.2211223975319</v>
      </c>
      <c r="D539" s="6">
        <f>-PMT(Inputs!$C$10/12, Inputs!$D$10, Inputs!$B$10)</f>
        <v>534.63236058943744</v>
      </c>
      <c r="E539" s="3">
        <f>C539 * (Inputs!$C$10/12)</f>
        <v>33.134623213985606</v>
      </c>
      <c r="F539" s="6">
        <f t="shared" si="40"/>
        <v>501.49773737545183</v>
      </c>
      <c r="G539" s="6">
        <f t="shared" si="38"/>
        <v>5178.72338502208</v>
      </c>
      <c r="H539" s="7">
        <f t="shared" si="42"/>
        <v>534.63236058943744</v>
      </c>
    </row>
    <row r="540" spans="1:8" x14ac:dyDescent="0.35">
      <c r="A540" s="2" t="str">
        <f>Inputs!$A$10</f>
        <v>L9</v>
      </c>
      <c r="B540" s="3">
        <v>51</v>
      </c>
      <c r="C540" s="6">
        <f t="shared" si="39"/>
        <v>5178.72338502208</v>
      </c>
      <c r="D540" s="6">
        <f>-PMT(Inputs!$C$10/12, Inputs!$D$10, Inputs!$B$10)</f>
        <v>534.63236058943744</v>
      </c>
      <c r="E540" s="3">
        <f>C540 * (Inputs!$C$10/12)</f>
        <v>30.209219745962134</v>
      </c>
      <c r="F540" s="6">
        <f t="shared" si="40"/>
        <v>504.42314084347532</v>
      </c>
      <c r="G540" s="6">
        <f t="shared" si="38"/>
        <v>4674.3002441786048</v>
      </c>
      <c r="H540" s="7">
        <f t="shared" si="42"/>
        <v>534.63236058943744</v>
      </c>
    </row>
    <row r="541" spans="1:8" x14ac:dyDescent="0.35">
      <c r="A541" s="2" t="str">
        <f>Inputs!$A$10</f>
        <v>L9</v>
      </c>
      <c r="B541" s="3">
        <v>52</v>
      </c>
      <c r="C541" s="6">
        <f t="shared" si="39"/>
        <v>4674.3002441786048</v>
      </c>
      <c r="D541" s="6">
        <f>-PMT(Inputs!$C$10/12, Inputs!$D$10, Inputs!$B$10)</f>
        <v>534.63236058943744</v>
      </c>
      <c r="E541" s="3">
        <f>C541 * (Inputs!$C$10/12)</f>
        <v>27.266751424375197</v>
      </c>
      <c r="F541" s="6">
        <f t="shared" si="40"/>
        <v>507.36560916506227</v>
      </c>
      <c r="G541" s="6">
        <f t="shared" si="38"/>
        <v>4166.9346350135429</v>
      </c>
      <c r="H541" s="7">
        <f t="shared" si="42"/>
        <v>534.63236058943744</v>
      </c>
    </row>
    <row r="542" spans="1:8" x14ac:dyDescent="0.35">
      <c r="A542" s="2" t="str">
        <f>Inputs!$A$10</f>
        <v>L9</v>
      </c>
      <c r="B542" s="3">
        <v>53</v>
      </c>
      <c r="C542" s="6">
        <f t="shared" si="39"/>
        <v>4166.9346350135429</v>
      </c>
      <c r="D542" s="6">
        <f>-PMT(Inputs!$C$10/12, Inputs!$D$10, Inputs!$B$10)</f>
        <v>534.63236058943744</v>
      </c>
      <c r="E542" s="3">
        <f>C542 * (Inputs!$C$10/12)</f>
        <v>24.307118704245667</v>
      </c>
      <c r="F542" s="6">
        <f t="shared" si="40"/>
        <v>510.32524188519176</v>
      </c>
      <c r="G542" s="6">
        <f t="shared" si="38"/>
        <v>3656.6093931283513</v>
      </c>
      <c r="H542" s="7">
        <f t="shared" si="42"/>
        <v>534.63236058943744</v>
      </c>
    </row>
    <row r="543" spans="1:8" x14ac:dyDescent="0.35">
      <c r="A543" s="2" t="str">
        <f>Inputs!$A$10</f>
        <v>L9</v>
      </c>
      <c r="B543" s="3">
        <v>54</v>
      </c>
      <c r="C543" s="6">
        <f t="shared" si="39"/>
        <v>3656.6093931283513</v>
      </c>
      <c r="D543" s="6">
        <f>-PMT(Inputs!$C$10/12, Inputs!$D$10, Inputs!$B$10)</f>
        <v>534.63236058943744</v>
      </c>
      <c r="E543" s="3">
        <f>C543 * (Inputs!$C$10/12)</f>
        <v>21.330221459915382</v>
      </c>
      <c r="F543" s="6">
        <f t="shared" si="40"/>
        <v>513.30213912952206</v>
      </c>
      <c r="G543" s="6">
        <f t="shared" si="38"/>
        <v>3143.3072539988293</v>
      </c>
      <c r="H543" s="7">
        <f t="shared" si="42"/>
        <v>534.63236058943744</v>
      </c>
    </row>
    <row r="544" spans="1:8" x14ac:dyDescent="0.35">
      <c r="A544" s="2" t="str">
        <f>Inputs!$A$10</f>
        <v>L9</v>
      </c>
      <c r="B544" s="3">
        <v>55</v>
      </c>
      <c r="C544" s="6">
        <f t="shared" si="39"/>
        <v>3143.3072539988293</v>
      </c>
      <c r="D544" s="6">
        <f>-PMT(Inputs!$C$10/12, Inputs!$D$10, Inputs!$B$10)</f>
        <v>534.63236058943744</v>
      </c>
      <c r="E544" s="3">
        <f>C544 * (Inputs!$C$10/12)</f>
        <v>18.335958981659839</v>
      </c>
      <c r="F544" s="6">
        <f t="shared" si="40"/>
        <v>516.29640160777763</v>
      </c>
      <c r="G544" s="6">
        <f t="shared" si="38"/>
        <v>2627.0108523910517</v>
      </c>
      <c r="H544" s="7">
        <f t="shared" si="42"/>
        <v>534.63236058943744</v>
      </c>
    </row>
    <row r="545" spans="1:8" x14ac:dyDescent="0.35">
      <c r="A545" s="2" t="str">
        <f>Inputs!$A$10</f>
        <v>L9</v>
      </c>
      <c r="B545" s="3">
        <v>56</v>
      </c>
      <c r="C545" s="6">
        <f t="shared" si="39"/>
        <v>2627.0108523910517</v>
      </c>
      <c r="D545" s="6">
        <f>-PMT(Inputs!$C$10/12, Inputs!$D$10, Inputs!$B$10)</f>
        <v>534.63236058943744</v>
      </c>
      <c r="E545" s="3">
        <f>C545 * (Inputs!$C$10/12)</f>
        <v>15.324229972281136</v>
      </c>
      <c r="F545" s="6">
        <f t="shared" si="40"/>
        <v>519.30813061715628</v>
      </c>
      <c r="G545" s="6">
        <f t="shared" si="38"/>
        <v>2107.7027217738955</v>
      </c>
      <c r="H545" s="7">
        <f t="shared" si="42"/>
        <v>534.63236058943744</v>
      </c>
    </row>
    <row r="546" spans="1:8" x14ac:dyDescent="0.35">
      <c r="A546" s="2" t="str">
        <f>Inputs!$A$10</f>
        <v>L9</v>
      </c>
      <c r="B546" s="3">
        <v>57</v>
      </c>
      <c r="C546" s="6">
        <f t="shared" si="39"/>
        <v>2107.7027217738955</v>
      </c>
      <c r="D546" s="6">
        <f>-PMT(Inputs!$C$10/12, Inputs!$D$10, Inputs!$B$10)</f>
        <v>534.63236058943744</v>
      </c>
      <c r="E546" s="3">
        <f>C546 * (Inputs!$C$10/12)</f>
        <v>12.294932543681059</v>
      </c>
      <c r="F546" s="6">
        <f t="shared" si="40"/>
        <v>522.33742804575638</v>
      </c>
      <c r="G546" s="6">
        <f t="shared" si="38"/>
        <v>1585.365293728139</v>
      </c>
      <c r="H546" s="7">
        <f t="shared" si="42"/>
        <v>534.63236058943744</v>
      </c>
    </row>
    <row r="547" spans="1:8" x14ac:dyDescent="0.35">
      <c r="A547" s="2" t="str">
        <f>Inputs!$A$10</f>
        <v>L9</v>
      </c>
      <c r="B547" s="3">
        <v>58</v>
      </c>
      <c r="C547" s="6">
        <f t="shared" si="39"/>
        <v>1585.365293728139</v>
      </c>
      <c r="D547" s="6">
        <f>-PMT(Inputs!$C$10/12, Inputs!$D$10, Inputs!$B$10)</f>
        <v>534.63236058943744</v>
      </c>
      <c r="E547" s="3">
        <f>C547 * (Inputs!$C$10/12)</f>
        <v>9.2479642134141447</v>
      </c>
      <c r="F547" s="6">
        <f t="shared" si="40"/>
        <v>525.38439637602335</v>
      </c>
      <c r="G547" s="6">
        <f t="shared" si="38"/>
        <v>1059.9808973521158</v>
      </c>
      <c r="H547" s="7">
        <f t="shared" si="42"/>
        <v>534.63236058943744</v>
      </c>
    </row>
    <row r="548" spans="1:8" x14ac:dyDescent="0.35">
      <c r="A548" s="2" t="str">
        <f>Inputs!$A$10</f>
        <v>L9</v>
      </c>
      <c r="B548" s="3">
        <v>59</v>
      </c>
      <c r="C548" s="6">
        <f t="shared" si="39"/>
        <v>1059.9808973521158</v>
      </c>
      <c r="D548" s="6">
        <f>-PMT(Inputs!$C$10/12, Inputs!$D$10, Inputs!$B$10)</f>
        <v>534.63236058943744</v>
      </c>
      <c r="E548" s="3">
        <f>C548 * (Inputs!$C$10/12)</f>
        <v>6.1832219012206755</v>
      </c>
      <c r="F548" s="6">
        <f t="shared" si="40"/>
        <v>528.44913868821675</v>
      </c>
      <c r="G548" s="6">
        <f t="shared" si="38"/>
        <v>531.53175866389904</v>
      </c>
      <c r="H548" s="7">
        <f t="shared" si="42"/>
        <v>534.63236058943744</v>
      </c>
    </row>
    <row r="549" spans="1:8" x14ac:dyDescent="0.35">
      <c r="A549" s="2" t="str">
        <f>Inputs!$A$10</f>
        <v>L9</v>
      </c>
      <c r="B549" s="4">
        <v>60</v>
      </c>
      <c r="C549" s="6">
        <f t="shared" si="39"/>
        <v>531.53175866389904</v>
      </c>
      <c r="D549" s="6">
        <f>-PMT(Inputs!$C$10/12, Inputs!$D$10, Inputs!$B$10)</f>
        <v>534.63236058943744</v>
      </c>
      <c r="E549" s="3">
        <f>C549 * (Inputs!$C$10/12)</f>
        <v>3.1006019255394111</v>
      </c>
      <c r="F549" s="6">
        <f t="shared" si="40"/>
        <v>531.53175866389802</v>
      </c>
      <c r="G549" s="6">
        <f>C549 - F549</f>
        <v>1.0231815394945443E-12</v>
      </c>
      <c r="H549" s="8">
        <f>D549</f>
        <v>534.63236058943744</v>
      </c>
    </row>
    <row r="551" spans="1:8" x14ac:dyDescent="0.35">
      <c r="A551" s="2" t="str">
        <f>Inputs!$A$11</f>
        <v>L10</v>
      </c>
      <c r="B551" s="3">
        <v>1</v>
      </c>
      <c r="C551" s="3">
        <f>Inputs!$B$11</f>
        <v>10000</v>
      </c>
      <c r="D551" s="6">
        <f>-PMT(Inputs!$C$11/12, Inputs!$D$11, Inputs!$B$11)</f>
        <v>193.32801529427914</v>
      </c>
      <c r="E551" s="3">
        <f>C551 * (Inputs!$C$11/12)</f>
        <v>50</v>
      </c>
      <c r="F551" s="6">
        <f>D551 - E551</f>
        <v>143.32801529427914</v>
      </c>
      <c r="G551" s="6">
        <f>C551 - F551</f>
        <v>9856.6719847057211</v>
      </c>
      <c r="H551" s="7">
        <f>D551</f>
        <v>193.32801529427914</v>
      </c>
    </row>
    <row r="552" spans="1:8" x14ac:dyDescent="0.35">
      <c r="A552" s="2" t="str">
        <f>Inputs!$A$11</f>
        <v>L10</v>
      </c>
      <c r="B552" s="3">
        <v>2</v>
      </c>
      <c r="C552" s="6">
        <f>G551</f>
        <v>9856.6719847057211</v>
      </c>
      <c r="D552" s="6">
        <f>-PMT(Inputs!$C$11/12, Inputs!$D$11, Inputs!$B$11)</f>
        <v>193.32801529427914</v>
      </c>
      <c r="E552" s="3">
        <f>C552 * (Inputs!$C$11/12)</f>
        <v>49.283359923528607</v>
      </c>
      <c r="F552" s="6">
        <f>D552 - E552</f>
        <v>144.04465537075055</v>
      </c>
      <c r="G552" s="6">
        <f t="shared" ref="G552:G609" si="43">C552 - F552</f>
        <v>9712.6273293349714</v>
      </c>
      <c r="H552" s="7">
        <f>D552</f>
        <v>193.32801529427914</v>
      </c>
    </row>
    <row r="553" spans="1:8" x14ac:dyDescent="0.35">
      <c r="A553" s="2" t="str">
        <f>Inputs!$A$11</f>
        <v>L10</v>
      </c>
      <c r="B553" s="3">
        <v>3</v>
      </c>
      <c r="C553" s="6">
        <f t="shared" ref="C553:C610" si="44">G552</f>
        <v>9712.6273293349714</v>
      </c>
      <c r="D553" s="6">
        <f>-PMT(Inputs!$C$11/12, Inputs!$D$11, Inputs!$B$11)</f>
        <v>193.32801529427914</v>
      </c>
      <c r="E553" s="3">
        <f>C553 * (Inputs!$C$11/12)</f>
        <v>48.563136646674856</v>
      </c>
      <c r="F553" s="6">
        <f t="shared" ref="F553:F610" si="45">D553 - E553</f>
        <v>144.76487864760429</v>
      </c>
      <c r="G553" s="6">
        <f t="shared" si="43"/>
        <v>9567.8624506873675</v>
      </c>
      <c r="H553" s="7">
        <f t="shared" ref="H553:H584" si="46">D551</f>
        <v>193.32801529427914</v>
      </c>
    </row>
    <row r="554" spans="1:8" x14ac:dyDescent="0.35">
      <c r="A554" s="2" t="str">
        <f>Inputs!$A$11</f>
        <v>L10</v>
      </c>
      <c r="B554" s="3">
        <v>4</v>
      </c>
      <c r="C554" s="6">
        <f t="shared" si="44"/>
        <v>9567.8624506873675</v>
      </c>
      <c r="D554" s="6">
        <f>-PMT(Inputs!$C$11/12, Inputs!$D$11, Inputs!$B$11)</f>
        <v>193.32801529427914</v>
      </c>
      <c r="E554" s="3">
        <f>C554 * (Inputs!$C$11/12)</f>
        <v>47.839312253436837</v>
      </c>
      <c r="F554" s="6">
        <f t="shared" si="45"/>
        <v>145.4887030408423</v>
      </c>
      <c r="G554" s="6">
        <f t="shared" si="43"/>
        <v>9422.3737476465249</v>
      </c>
      <c r="H554" s="7">
        <f t="shared" si="46"/>
        <v>193.32801529427914</v>
      </c>
    </row>
    <row r="555" spans="1:8" x14ac:dyDescent="0.35">
      <c r="A555" s="2" t="str">
        <f>Inputs!$A$11</f>
        <v>L10</v>
      </c>
      <c r="B555" s="3">
        <v>5</v>
      </c>
      <c r="C555" s="6">
        <f t="shared" si="44"/>
        <v>9422.3737476465249</v>
      </c>
      <c r="D555" s="6">
        <f>-PMT(Inputs!$C$11/12, Inputs!$D$11, Inputs!$B$11)</f>
        <v>193.32801529427914</v>
      </c>
      <c r="E555" s="3">
        <f>C555 * (Inputs!$C$11/12)</f>
        <v>47.111868738232623</v>
      </c>
      <c r="F555" s="6">
        <f t="shared" si="45"/>
        <v>146.21614655604651</v>
      </c>
      <c r="G555" s="6">
        <f t="shared" si="43"/>
        <v>9276.1576010904791</v>
      </c>
      <c r="H555" s="7">
        <f t="shared" si="46"/>
        <v>193.32801529427914</v>
      </c>
    </row>
    <row r="556" spans="1:8" x14ac:dyDescent="0.35">
      <c r="A556" s="2" t="str">
        <f>Inputs!$A$11</f>
        <v>L10</v>
      </c>
      <c r="B556" s="3">
        <v>6</v>
      </c>
      <c r="C556" s="6">
        <f t="shared" si="44"/>
        <v>9276.1576010904791</v>
      </c>
      <c r="D556" s="6">
        <f>-PMT(Inputs!$C$11/12, Inputs!$D$11, Inputs!$B$11)</f>
        <v>193.32801529427914</v>
      </c>
      <c r="E556" s="3">
        <f>C556 * (Inputs!$C$11/12)</f>
        <v>46.380788005452395</v>
      </c>
      <c r="F556" s="6">
        <f t="shared" si="45"/>
        <v>146.94722728882675</v>
      </c>
      <c r="G556" s="6">
        <f t="shared" si="43"/>
        <v>9129.2103738016522</v>
      </c>
      <c r="H556" s="7">
        <f t="shared" si="46"/>
        <v>193.32801529427914</v>
      </c>
    </row>
    <row r="557" spans="1:8" x14ac:dyDescent="0.35">
      <c r="A557" s="2" t="str">
        <f>Inputs!$A$11</f>
        <v>L10</v>
      </c>
      <c r="B557" s="3">
        <v>7</v>
      </c>
      <c r="C557" s="6">
        <f t="shared" si="44"/>
        <v>9129.2103738016522</v>
      </c>
      <c r="D557" s="6">
        <f>-PMT(Inputs!$C$11/12, Inputs!$D$11, Inputs!$B$11)</f>
        <v>193.32801529427914</v>
      </c>
      <c r="E557" s="3">
        <f>C557 * (Inputs!$C$11/12)</f>
        <v>45.646051869008261</v>
      </c>
      <c r="F557" s="6">
        <f t="shared" si="45"/>
        <v>147.68196342527088</v>
      </c>
      <c r="G557" s="6">
        <f t="shared" si="43"/>
        <v>8981.5284103763806</v>
      </c>
      <c r="H557" s="7">
        <f t="shared" si="46"/>
        <v>193.32801529427914</v>
      </c>
    </row>
    <row r="558" spans="1:8" x14ac:dyDescent="0.35">
      <c r="A558" s="2" t="str">
        <f>Inputs!$A$11</f>
        <v>L10</v>
      </c>
      <c r="B558" s="3">
        <v>8</v>
      </c>
      <c r="C558" s="6">
        <f t="shared" si="44"/>
        <v>8981.5284103763806</v>
      </c>
      <c r="D558" s="6">
        <f>-PMT(Inputs!$C$11/12, Inputs!$D$11, Inputs!$B$11)</f>
        <v>193.32801529427914</v>
      </c>
      <c r="E558" s="3">
        <f>C558 * (Inputs!$C$11/12)</f>
        <v>44.907642051881901</v>
      </c>
      <c r="F558" s="6">
        <f t="shared" si="45"/>
        <v>148.42037324239723</v>
      </c>
      <c r="G558" s="6">
        <f t="shared" si="43"/>
        <v>8833.1080371339831</v>
      </c>
      <c r="H558" s="7">
        <f t="shared" si="46"/>
        <v>193.32801529427914</v>
      </c>
    </row>
    <row r="559" spans="1:8" x14ac:dyDescent="0.35">
      <c r="A559" s="2" t="str">
        <f>Inputs!$A$11</f>
        <v>L10</v>
      </c>
      <c r="B559" s="3">
        <v>9</v>
      </c>
      <c r="C559" s="6">
        <f t="shared" si="44"/>
        <v>8833.1080371339831</v>
      </c>
      <c r="D559" s="6">
        <f>-PMT(Inputs!$C$11/12, Inputs!$D$11, Inputs!$B$11)</f>
        <v>193.32801529427914</v>
      </c>
      <c r="E559" s="3">
        <f>C559 * (Inputs!$C$11/12)</f>
        <v>44.165540185669919</v>
      </c>
      <c r="F559" s="6">
        <f t="shared" si="45"/>
        <v>149.16247510860921</v>
      </c>
      <c r="G559" s="6">
        <f t="shared" si="43"/>
        <v>8683.9455620253739</v>
      </c>
      <c r="H559" s="7">
        <f t="shared" si="46"/>
        <v>193.32801529427914</v>
      </c>
    </row>
    <row r="560" spans="1:8" x14ac:dyDescent="0.35">
      <c r="A560" s="2" t="str">
        <f>Inputs!$A$11</f>
        <v>L10</v>
      </c>
      <c r="B560" s="3">
        <v>10</v>
      </c>
      <c r="C560" s="6">
        <f t="shared" si="44"/>
        <v>8683.9455620253739</v>
      </c>
      <c r="D560" s="6">
        <f>-PMT(Inputs!$C$11/12, Inputs!$D$11, Inputs!$B$11)</f>
        <v>193.32801529427914</v>
      </c>
      <c r="E560" s="3">
        <f>C560 * (Inputs!$C$11/12)</f>
        <v>43.419727810126872</v>
      </c>
      <c r="F560" s="6">
        <f t="shared" si="45"/>
        <v>149.90828748415225</v>
      </c>
      <c r="G560" s="6">
        <f t="shared" si="43"/>
        <v>8534.0372745412224</v>
      </c>
      <c r="H560" s="7">
        <f t="shared" si="46"/>
        <v>193.32801529427914</v>
      </c>
    </row>
    <row r="561" spans="1:8" x14ac:dyDescent="0.35">
      <c r="A561" s="2" t="str">
        <f>Inputs!$A$11</f>
        <v>L10</v>
      </c>
      <c r="B561" s="3">
        <v>11</v>
      </c>
      <c r="C561" s="6">
        <f t="shared" si="44"/>
        <v>8534.0372745412224</v>
      </c>
      <c r="D561" s="6">
        <f>-PMT(Inputs!$C$11/12, Inputs!$D$11, Inputs!$B$11)</f>
        <v>193.32801529427914</v>
      </c>
      <c r="E561" s="3">
        <f>C561 * (Inputs!$C$11/12)</f>
        <v>42.670186372706112</v>
      </c>
      <c r="F561" s="6">
        <f t="shared" si="45"/>
        <v>150.65782892157301</v>
      </c>
      <c r="G561" s="6">
        <f t="shared" si="43"/>
        <v>8383.3794456196501</v>
      </c>
      <c r="H561" s="7">
        <f t="shared" si="46"/>
        <v>193.32801529427914</v>
      </c>
    </row>
    <row r="562" spans="1:8" x14ac:dyDescent="0.35">
      <c r="A562" s="2" t="str">
        <f>Inputs!$A$11</f>
        <v>L10</v>
      </c>
      <c r="B562" s="3">
        <v>12</v>
      </c>
      <c r="C562" s="6">
        <f t="shared" si="44"/>
        <v>8383.3794456196501</v>
      </c>
      <c r="D562" s="6">
        <f>-PMT(Inputs!$C$11/12, Inputs!$D$11, Inputs!$B$11)</f>
        <v>193.32801529427914</v>
      </c>
      <c r="E562" s="3">
        <f>C562 * (Inputs!$C$11/12)</f>
        <v>41.91689722809825</v>
      </c>
      <c r="F562" s="6">
        <f t="shared" si="45"/>
        <v>151.4111180661809</v>
      </c>
      <c r="G562" s="6">
        <f t="shared" si="43"/>
        <v>8231.9683275534699</v>
      </c>
      <c r="H562" s="7">
        <f t="shared" si="46"/>
        <v>193.32801529427914</v>
      </c>
    </row>
    <row r="563" spans="1:8" x14ac:dyDescent="0.35">
      <c r="A563" s="2" t="str">
        <f>Inputs!$A$11</f>
        <v>L10</v>
      </c>
      <c r="B563" s="3">
        <v>13</v>
      </c>
      <c r="C563" s="6">
        <f t="shared" si="44"/>
        <v>8231.9683275534699</v>
      </c>
      <c r="D563" s="6">
        <f>-PMT(Inputs!$C$11/12, Inputs!$D$11, Inputs!$B$11)</f>
        <v>193.32801529427914</v>
      </c>
      <c r="E563" s="3">
        <f>C563 * (Inputs!$C$11/12)</f>
        <v>41.15984163776735</v>
      </c>
      <c r="F563" s="6">
        <f t="shared" si="45"/>
        <v>152.16817365651178</v>
      </c>
      <c r="G563" s="6">
        <f t="shared" si="43"/>
        <v>8079.8001538969584</v>
      </c>
      <c r="H563" s="7">
        <f t="shared" si="46"/>
        <v>193.32801529427914</v>
      </c>
    </row>
    <row r="564" spans="1:8" x14ac:dyDescent="0.35">
      <c r="A564" s="2" t="str">
        <f>Inputs!$A$11</f>
        <v>L10</v>
      </c>
      <c r="B564" s="3">
        <v>14</v>
      </c>
      <c r="C564" s="6">
        <f t="shared" si="44"/>
        <v>8079.8001538969584</v>
      </c>
      <c r="D564" s="6">
        <f>-PMT(Inputs!$C$11/12, Inputs!$D$11, Inputs!$B$11)</f>
        <v>193.32801529427914</v>
      </c>
      <c r="E564" s="3">
        <f>C564 * (Inputs!$C$11/12)</f>
        <v>40.399000769484793</v>
      </c>
      <c r="F564" s="6">
        <f t="shared" si="45"/>
        <v>152.92901452479435</v>
      </c>
      <c r="G564" s="6">
        <f t="shared" si="43"/>
        <v>7926.8711393721642</v>
      </c>
      <c r="H564" s="7">
        <f t="shared" si="46"/>
        <v>193.32801529427914</v>
      </c>
    </row>
    <row r="565" spans="1:8" x14ac:dyDescent="0.35">
      <c r="A565" s="2" t="str">
        <f>Inputs!$A$11</f>
        <v>L10</v>
      </c>
      <c r="B565" s="3">
        <v>15</v>
      </c>
      <c r="C565" s="6">
        <f t="shared" si="44"/>
        <v>7926.8711393721642</v>
      </c>
      <c r="D565" s="6">
        <f>-PMT(Inputs!$C$11/12, Inputs!$D$11, Inputs!$B$11)</f>
        <v>193.32801529427914</v>
      </c>
      <c r="E565" s="3">
        <f>C565 * (Inputs!$C$11/12)</f>
        <v>39.634355696860823</v>
      </c>
      <c r="F565" s="6">
        <f t="shared" si="45"/>
        <v>153.69365959741833</v>
      </c>
      <c r="G565" s="6">
        <f t="shared" si="43"/>
        <v>7773.1774797747457</v>
      </c>
      <c r="H565" s="7">
        <f t="shared" si="46"/>
        <v>193.32801529427914</v>
      </c>
    </row>
    <row r="566" spans="1:8" x14ac:dyDescent="0.35">
      <c r="A566" s="2" t="str">
        <f>Inputs!$A$11</f>
        <v>L10</v>
      </c>
      <c r="B566" s="3">
        <v>16</v>
      </c>
      <c r="C566" s="6">
        <f t="shared" si="44"/>
        <v>7773.1774797747457</v>
      </c>
      <c r="D566" s="6">
        <f>-PMT(Inputs!$C$11/12, Inputs!$D$11, Inputs!$B$11)</f>
        <v>193.32801529427914</v>
      </c>
      <c r="E566" s="3">
        <f>C566 * (Inputs!$C$11/12)</f>
        <v>38.865887398873731</v>
      </c>
      <c r="F566" s="6">
        <f t="shared" si="45"/>
        <v>154.46212789540542</v>
      </c>
      <c r="G566" s="6">
        <f t="shared" si="43"/>
        <v>7618.7153518793402</v>
      </c>
      <c r="H566" s="7">
        <f t="shared" si="46"/>
        <v>193.32801529427914</v>
      </c>
    </row>
    <row r="567" spans="1:8" x14ac:dyDescent="0.35">
      <c r="A567" s="2" t="str">
        <f>Inputs!$A$11</f>
        <v>L10</v>
      </c>
      <c r="B567" s="3">
        <v>17</v>
      </c>
      <c r="C567" s="6">
        <f t="shared" si="44"/>
        <v>7618.7153518793402</v>
      </c>
      <c r="D567" s="6">
        <f>-PMT(Inputs!$C$11/12, Inputs!$D$11, Inputs!$B$11)</f>
        <v>193.32801529427914</v>
      </c>
      <c r="E567" s="3">
        <f>C567 * (Inputs!$C$11/12)</f>
        <v>38.093576759396704</v>
      </c>
      <c r="F567" s="6">
        <f t="shared" si="45"/>
        <v>155.23443853488243</v>
      </c>
      <c r="G567" s="6">
        <f t="shared" si="43"/>
        <v>7463.4809133444578</v>
      </c>
      <c r="H567" s="7">
        <f t="shared" si="46"/>
        <v>193.32801529427914</v>
      </c>
    </row>
    <row r="568" spans="1:8" x14ac:dyDescent="0.35">
      <c r="A568" s="2" t="str">
        <f>Inputs!$A$11</f>
        <v>L10</v>
      </c>
      <c r="B568" s="3">
        <v>18</v>
      </c>
      <c r="C568" s="6">
        <f t="shared" si="44"/>
        <v>7463.4809133444578</v>
      </c>
      <c r="D568" s="6">
        <f>-PMT(Inputs!$C$11/12, Inputs!$D$11, Inputs!$B$11)</f>
        <v>193.32801529427914</v>
      </c>
      <c r="E568" s="3">
        <f>C568 * (Inputs!$C$11/12)</f>
        <v>37.317404566722288</v>
      </c>
      <c r="F568" s="6">
        <f t="shared" si="45"/>
        <v>156.01061072755687</v>
      </c>
      <c r="G568" s="6">
        <f t="shared" si="43"/>
        <v>7307.4703026169009</v>
      </c>
      <c r="H568" s="7">
        <f t="shared" si="46"/>
        <v>193.32801529427914</v>
      </c>
    </row>
    <row r="569" spans="1:8" x14ac:dyDescent="0.35">
      <c r="A569" s="2" t="str">
        <f>Inputs!$A$11</f>
        <v>L10</v>
      </c>
      <c r="B569" s="3">
        <v>19</v>
      </c>
      <c r="C569" s="6">
        <f t="shared" si="44"/>
        <v>7307.4703026169009</v>
      </c>
      <c r="D569" s="6">
        <f>-PMT(Inputs!$C$11/12, Inputs!$D$11, Inputs!$B$11)</f>
        <v>193.32801529427914</v>
      </c>
      <c r="E569" s="3">
        <f>C569 * (Inputs!$C$11/12)</f>
        <v>36.537351513084502</v>
      </c>
      <c r="F569" s="6">
        <f t="shared" si="45"/>
        <v>156.79066378119464</v>
      </c>
      <c r="G569" s="6">
        <f t="shared" si="43"/>
        <v>7150.6796388357061</v>
      </c>
      <c r="H569" s="7">
        <f t="shared" si="46"/>
        <v>193.32801529427914</v>
      </c>
    </row>
    <row r="570" spans="1:8" x14ac:dyDescent="0.35">
      <c r="A570" s="2" t="str">
        <f>Inputs!$A$11</f>
        <v>L10</v>
      </c>
      <c r="B570" s="3">
        <v>20</v>
      </c>
      <c r="C570" s="6">
        <f t="shared" si="44"/>
        <v>7150.6796388357061</v>
      </c>
      <c r="D570" s="6">
        <f>-PMT(Inputs!$C$11/12, Inputs!$D$11, Inputs!$B$11)</f>
        <v>193.32801529427914</v>
      </c>
      <c r="E570" s="3">
        <f>C570 * (Inputs!$C$11/12)</f>
        <v>35.75339819417853</v>
      </c>
      <c r="F570" s="6">
        <f t="shared" si="45"/>
        <v>157.57461710010062</v>
      </c>
      <c r="G570" s="6">
        <f t="shared" si="43"/>
        <v>6993.1050217356051</v>
      </c>
      <c r="H570" s="7">
        <f t="shared" si="46"/>
        <v>193.32801529427914</v>
      </c>
    </row>
    <row r="571" spans="1:8" x14ac:dyDescent="0.35">
      <c r="A571" s="2" t="str">
        <f>Inputs!$A$11</f>
        <v>L10</v>
      </c>
      <c r="B571" s="3">
        <v>21</v>
      </c>
      <c r="C571" s="6">
        <f t="shared" si="44"/>
        <v>6993.1050217356051</v>
      </c>
      <c r="D571" s="6">
        <f>-PMT(Inputs!$C$11/12, Inputs!$D$11, Inputs!$B$11)</f>
        <v>193.32801529427914</v>
      </c>
      <c r="E571" s="3">
        <f>C571 * (Inputs!$C$11/12)</f>
        <v>34.96552510867803</v>
      </c>
      <c r="F571" s="6">
        <f t="shared" si="45"/>
        <v>158.3624901856011</v>
      </c>
      <c r="G571" s="6">
        <f t="shared" si="43"/>
        <v>6834.7425315500041</v>
      </c>
      <c r="H571" s="7">
        <f t="shared" si="46"/>
        <v>193.32801529427914</v>
      </c>
    </row>
    <row r="572" spans="1:8" x14ac:dyDescent="0.35">
      <c r="A572" s="2" t="str">
        <f>Inputs!$A$11</f>
        <v>L10</v>
      </c>
      <c r="B572" s="3">
        <v>22</v>
      </c>
      <c r="C572" s="6">
        <f t="shared" si="44"/>
        <v>6834.7425315500041</v>
      </c>
      <c r="D572" s="6">
        <f>-PMT(Inputs!$C$11/12, Inputs!$D$11, Inputs!$B$11)</f>
        <v>193.32801529427914</v>
      </c>
      <c r="E572" s="3">
        <f>C572 * (Inputs!$C$11/12)</f>
        <v>34.173712657750023</v>
      </c>
      <c r="F572" s="6">
        <f t="shared" si="45"/>
        <v>159.15430263652911</v>
      </c>
      <c r="G572" s="6">
        <f t="shared" si="43"/>
        <v>6675.5882289134752</v>
      </c>
      <c r="H572" s="7">
        <f t="shared" si="46"/>
        <v>193.32801529427914</v>
      </c>
    </row>
    <row r="573" spans="1:8" x14ac:dyDescent="0.35">
      <c r="A573" s="2" t="str">
        <f>Inputs!$A$11</f>
        <v>L10</v>
      </c>
      <c r="B573" s="3">
        <v>23</v>
      </c>
      <c r="C573" s="6">
        <f t="shared" si="44"/>
        <v>6675.5882289134752</v>
      </c>
      <c r="D573" s="6">
        <f>-PMT(Inputs!$C$11/12, Inputs!$D$11, Inputs!$B$11)</f>
        <v>193.32801529427914</v>
      </c>
      <c r="E573" s="3">
        <f>C573 * (Inputs!$C$11/12)</f>
        <v>33.377941144567373</v>
      </c>
      <c r="F573" s="6">
        <f t="shared" si="45"/>
        <v>159.95007414971178</v>
      </c>
      <c r="G573" s="6">
        <f t="shared" si="43"/>
        <v>6515.6381547637629</v>
      </c>
      <c r="H573" s="7">
        <f t="shared" si="46"/>
        <v>193.32801529427914</v>
      </c>
    </row>
    <row r="574" spans="1:8" x14ac:dyDescent="0.35">
      <c r="A574" s="2" t="str">
        <f>Inputs!$A$11</f>
        <v>L10</v>
      </c>
      <c r="B574" s="3">
        <v>24</v>
      </c>
      <c r="C574" s="6">
        <f t="shared" si="44"/>
        <v>6515.6381547637629</v>
      </c>
      <c r="D574" s="6">
        <f>-PMT(Inputs!$C$11/12, Inputs!$D$11, Inputs!$B$11)</f>
        <v>193.32801529427914</v>
      </c>
      <c r="E574" s="3">
        <f>C574 * (Inputs!$C$11/12)</f>
        <v>32.578190773818818</v>
      </c>
      <c r="F574" s="6">
        <f t="shared" si="45"/>
        <v>160.74982452046032</v>
      </c>
      <c r="G574" s="6">
        <f t="shared" si="43"/>
        <v>6354.8883302433023</v>
      </c>
      <c r="H574" s="7">
        <f t="shared" si="46"/>
        <v>193.32801529427914</v>
      </c>
    </row>
    <row r="575" spans="1:8" x14ac:dyDescent="0.35">
      <c r="A575" s="2" t="str">
        <f>Inputs!$A$11</f>
        <v>L10</v>
      </c>
      <c r="B575" s="3">
        <v>25</v>
      </c>
      <c r="C575" s="6">
        <f t="shared" si="44"/>
        <v>6354.8883302433023</v>
      </c>
      <c r="D575" s="6">
        <f>-PMT(Inputs!$C$11/12, Inputs!$D$11, Inputs!$B$11)</f>
        <v>193.32801529427914</v>
      </c>
      <c r="E575" s="3">
        <f>C575 * (Inputs!$C$11/12)</f>
        <v>31.774441651216513</v>
      </c>
      <c r="F575" s="6">
        <f t="shared" si="45"/>
        <v>161.55357364306263</v>
      </c>
      <c r="G575" s="6">
        <f t="shared" si="43"/>
        <v>6193.3347566002394</v>
      </c>
      <c r="H575" s="7">
        <f t="shared" si="46"/>
        <v>193.32801529427914</v>
      </c>
    </row>
    <row r="576" spans="1:8" x14ac:dyDescent="0.35">
      <c r="A576" s="2" t="str">
        <f>Inputs!$A$11</f>
        <v>L10</v>
      </c>
      <c r="B576" s="3">
        <v>26</v>
      </c>
      <c r="C576" s="6">
        <f t="shared" si="44"/>
        <v>6193.3347566002394</v>
      </c>
      <c r="D576" s="6">
        <f>-PMT(Inputs!$C$11/12, Inputs!$D$11, Inputs!$B$11)</f>
        <v>193.32801529427914</v>
      </c>
      <c r="E576" s="3">
        <f>C576 * (Inputs!$C$11/12)</f>
        <v>30.966673783001198</v>
      </c>
      <c r="F576" s="6">
        <f t="shared" si="45"/>
        <v>162.36134151127794</v>
      </c>
      <c r="G576" s="6">
        <f t="shared" si="43"/>
        <v>6030.9734150889617</v>
      </c>
      <c r="H576" s="7">
        <f t="shared" si="46"/>
        <v>193.32801529427914</v>
      </c>
    </row>
    <row r="577" spans="1:8" x14ac:dyDescent="0.35">
      <c r="A577" s="2" t="str">
        <f>Inputs!$A$11</f>
        <v>L10</v>
      </c>
      <c r="B577" s="3">
        <v>27</v>
      </c>
      <c r="C577" s="6">
        <f t="shared" si="44"/>
        <v>6030.9734150889617</v>
      </c>
      <c r="D577" s="6">
        <f>-PMT(Inputs!$C$11/12, Inputs!$D$11, Inputs!$B$11)</f>
        <v>193.32801529427914</v>
      </c>
      <c r="E577" s="3">
        <f>C577 * (Inputs!$C$11/12)</f>
        <v>30.154867075444809</v>
      </c>
      <c r="F577" s="6">
        <f t="shared" si="45"/>
        <v>163.17314821883434</v>
      </c>
      <c r="G577" s="6">
        <f t="shared" si="43"/>
        <v>5867.8002668701274</v>
      </c>
      <c r="H577" s="7">
        <f t="shared" si="46"/>
        <v>193.32801529427914</v>
      </c>
    </row>
    <row r="578" spans="1:8" x14ac:dyDescent="0.35">
      <c r="A578" s="2" t="str">
        <f>Inputs!$A$11</f>
        <v>L10</v>
      </c>
      <c r="B578" s="3">
        <v>28</v>
      </c>
      <c r="C578" s="6">
        <f t="shared" si="44"/>
        <v>5867.8002668701274</v>
      </c>
      <c r="D578" s="6">
        <f>-PMT(Inputs!$C$11/12, Inputs!$D$11, Inputs!$B$11)</f>
        <v>193.32801529427914</v>
      </c>
      <c r="E578" s="3">
        <f>C578 * (Inputs!$C$11/12)</f>
        <v>29.339001334350638</v>
      </c>
      <c r="F578" s="6">
        <f t="shared" si="45"/>
        <v>163.98901395992851</v>
      </c>
      <c r="G578" s="6">
        <f t="shared" si="43"/>
        <v>5703.8112529101991</v>
      </c>
      <c r="H578" s="7">
        <f t="shared" si="46"/>
        <v>193.32801529427914</v>
      </c>
    </row>
    <row r="579" spans="1:8" x14ac:dyDescent="0.35">
      <c r="A579" s="2" t="str">
        <f>Inputs!$A$11</f>
        <v>L10</v>
      </c>
      <c r="B579" s="3">
        <v>29</v>
      </c>
      <c r="C579" s="6">
        <f t="shared" si="44"/>
        <v>5703.8112529101991</v>
      </c>
      <c r="D579" s="6">
        <f>-PMT(Inputs!$C$11/12, Inputs!$D$11, Inputs!$B$11)</f>
        <v>193.32801529427914</v>
      </c>
      <c r="E579" s="3">
        <f>C579 * (Inputs!$C$11/12)</f>
        <v>28.519056264550997</v>
      </c>
      <c r="F579" s="6">
        <f t="shared" si="45"/>
        <v>164.80895902972816</v>
      </c>
      <c r="G579" s="6">
        <f t="shared" si="43"/>
        <v>5539.0022938804705</v>
      </c>
      <c r="H579" s="7">
        <f t="shared" si="46"/>
        <v>193.32801529427914</v>
      </c>
    </row>
    <row r="580" spans="1:8" x14ac:dyDescent="0.35">
      <c r="A580" s="2" t="str">
        <f>Inputs!$A$11</f>
        <v>L10</v>
      </c>
      <c r="B580" s="3">
        <v>30</v>
      </c>
      <c r="C580" s="6">
        <f t="shared" si="44"/>
        <v>5539.0022938804705</v>
      </c>
      <c r="D580" s="6">
        <f>-PMT(Inputs!$C$11/12, Inputs!$D$11, Inputs!$B$11)</f>
        <v>193.32801529427914</v>
      </c>
      <c r="E580" s="3">
        <f>C580 * (Inputs!$C$11/12)</f>
        <v>27.695011469402353</v>
      </c>
      <c r="F580" s="6">
        <f t="shared" si="45"/>
        <v>165.63300382487679</v>
      </c>
      <c r="G580" s="6">
        <f t="shared" si="43"/>
        <v>5373.3692900555934</v>
      </c>
      <c r="H580" s="7">
        <f t="shared" si="46"/>
        <v>193.32801529427914</v>
      </c>
    </row>
    <row r="581" spans="1:8" x14ac:dyDescent="0.35">
      <c r="A581" s="2" t="str">
        <f>Inputs!$A$11</f>
        <v>L10</v>
      </c>
      <c r="B581" s="3">
        <v>31</v>
      </c>
      <c r="C581" s="6">
        <f t="shared" si="44"/>
        <v>5373.3692900555934</v>
      </c>
      <c r="D581" s="6">
        <f>-PMT(Inputs!$C$11/12, Inputs!$D$11, Inputs!$B$11)</f>
        <v>193.32801529427914</v>
      </c>
      <c r="E581" s="3">
        <f>C581 * (Inputs!$C$11/12)</f>
        <v>26.866846450277968</v>
      </c>
      <c r="F581" s="6">
        <f t="shared" si="45"/>
        <v>166.46116884400118</v>
      </c>
      <c r="G581" s="6">
        <f t="shared" si="43"/>
        <v>5206.9081212115925</v>
      </c>
      <c r="H581" s="7">
        <f t="shared" si="46"/>
        <v>193.32801529427914</v>
      </c>
    </row>
    <row r="582" spans="1:8" x14ac:dyDescent="0.35">
      <c r="A582" s="2" t="str">
        <f>Inputs!$A$11</f>
        <v>L10</v>
      </c>
      <c r="B582" s="3">
        <v>32</v>
      </c>
      <c r="C582" s="6">
        <f t="shared" si="44"/>
        <v>5206.9081212115925</v>
      </c>
      <c r="D582" s="6">
        <f>-PMT(Inputs!$C$11/12, Inputs!$D$11, Inputs!$B$11)</f>
        <v>193.32801529427914</v>
      </c>
      <c r="E582" s="3">
        <f>C582 * (Inputs!$C$11/12)</f>
        <v>26.034540606057963</v>
      </c>
      <c r="F582" s="6">
        <f t="shared" si="45"/>
        <v>167.29347468822118</v>
      </c>
      <c r="G582" s="6">
        <f t="shared" si="43"/>
        <v>5039.6146465233714</v>
      </c>
      <c r="H582" s="7">
        <f t="shared" si="46"/>
        <v>193.32801529427914</v>
      </c>
    </row>
    <row r="583" spans="1:8" x14ac:dyDescent="0.35">
      <c r="A583" s="2" t="str">
        <f>Inputs!$A$11</f>
        <v>L10</v>
      </c>
      <c r="B583" s="3">
        <v>33</v>
      </c>
      <c r="C583" s="6">
        <f t="shared" si="44"/>
        <v>5039.6146465233714</v>
      </c>
      <c r="D583" s="6">
        <f>-PMT(Inputs!$C$11/12, Inputs!$D$11, Inputs!$B$11)</f>
        <v>193.32801529427914</v>
      </c>
      <c r="E583" s="3">
        <f>C583 * (Inputs!$C$11/12)</f>
        <v>25.198073232616856</v>
      </c>
      <c r="F583" s="6">
        <f t="shared" si="45"/>
        <v>168.12994206166229</v>
      </c>
      <c r="G583" s="6">
        <f t="shared" si="43"/>
        <v>4871.484704461709</v>
      </c>
      <c r="H583" s="7">
        <f t="shared" si="46"/>
        <v>193.32801529427914</v>
      </c>
    </row>
    <row r="584" spans="1:8" x14ac:dyDescent="0.35">
      <c r="A584" s="2" t="str">
        <f>Inputs!$A$11</f>
        <v>L10</v>
      </c>
      <c r="B584" s="3">
        <v>34</v>
      </c>
      <c r="C584" s="6">
        <f t="shared" si="44"/>
        <v>4871.484704461709</v>
      </c>
      <c r="D584" s="6">
        <f>-PMT(Inputs!$C$11/12, Inputs!$D$11, Inputs!$B$11)</f>
        <v>193.32801529427914</v>
      </c>
      <c r="E584" s="3">
        <f>C584 * (Inputs!$C$11/12)</f>
        <v>24.357423522308547</v>
      </c>
      <c r="F584" s="6">
        <f t="shared" si="45"/>
        <v>168.97059177197059</v>
      </c>
      <c r="G584" s="6">
        <f t="shared" si="43"/>
        <v>4702.5141126897388</v>
      </c>
      <c r="H584" s="7">
        <f t="shared" si="46"/>
        <v>193.32801529427914</v>
      </c>
    </row>
    <row r="585" spans="1:8" x14ac:dyDescent="0.35">
      <c r="A585" s="2" t="str">
        <f>Inputs!$A$11</f>
        <v>L10</v>
      </c>
      <c r="B585" s="3">
        <v>35</v>
      </c>
      <c r="C585" s="6">
        <f t="shared" si="44"/>
        <v>4702.5141126897388</v>
      </c>
      <c r="D585" s="6">
        <f>-PMT(Inputs!$C$11/12, Inputs!$D$11, Inputs!$B$11)</f>
        <v>193.32801529427914</v>
      </c>
      <c r="E585" s="3">
        <f>C585 * (Inputs!$C$11/12)</f>
        <v>23.512570563448694</v>
      </c>
      <c r="F585" s="6">
        <f t="shared" si="45"/>
        <v>169.81544473083045</v>
      </c>
      <c r="G585" s="6">
        <f t="shared" si="43"/>
        <v>4532.6986679589081</v>
      </c>
      <c r="H585" s="7">
        <f t="shared" ref="H585:H609" si="47">D583</f>
        <v>193.32801529427914</v>
      </c>
    </row>
    <row r="586" spans="1:8" x14ac:dyDescent="0.35">
      <c r="A586" s="2" t="str">
        <f>Inputs!$A$11</f>
        <v>L10</v>
      </c>
      <c r="B586" s="3">
        <v>36</v>
      </c>
      <c r="C586" s="6">
        <f t="shared" si="44"/>
        <v>4532.6986679589081</v>
      </c>
      <c r="D586" s="6">
        <f>-PMT(Inputs!$C$11/12, Inputs!$D$11, Inputs!$B$11)</f>
        <v>193.32801529427914</v>
      </c>
      <c r="E586" s="3">
        <f>C586 * (Inputs!$C$11/12)</f>
        <v>22.663493339794542</v>
      </c>
      <c r="F586" s="6">
        <f t="shared" si="45"/>
        <v>170.6645219544846</v>
      </c>
      <c r="G586" s="6">
        <f t="shared" si="43"/>
        <v>4362.0341460044237</v>
      </c>
      <c r="H586" s="7">
        <f t="shared" si="47"/>
        <v>193.32801529427914</v>
      </c>
    </row>
    <row r="587" spans="1:8" x14ac:dyDescent="0.35">
      <c r="A587" s="2" t="str">
        <f>Inputs!$A$11</f>
        <v>L10</v>
      </c>
      <c r="B587" s="3">
        <v>37</v>
      </c>
      <c r="C587" s="6">
        <f t="shared" si="44"/>
        <v>4362.0341460044237</v>
      </c>
      <c r="D587" s="6">
        <f>-PMT(Inputs!$C$11/12, Inputs!$D$11, Inputs!$B$11)</f>
        <v>193.32801529427914</v>
      </c>
      <c r="E587" s="3">
        <f>C587 * (Inputs!$C$11/12)</f>
        <v>21.810170730022119</v>
      </c>
      <c r="F587" s="6">
        <f t="shared" si="45"/>
        <v>171.51784456425702</v>
      </c>
      <c r="G587" s="6">
        <f t="shared" si="43"/>
        <v>4190.5163014401669</v>
      </c>
      <c r="H587" s="7">
        <f t="shared" si="47"/>
        <v>193.32801529427914</v>
      </c>
    </row>
    <row r="588" spans="1:8" x14ac:dyDescent="0.35">
      <c r="A588" s="2" t="str">
        <f>Inputs!$A$11</f>
        <v>L10</v>
      </c>
      <c r="B588" s="3">
        <v>38</v>
      </c>
      <c r="C588" s="6">
        <f t="shared" si="44"/>
        <v>4190.5163014401669</v>
      </c>
      <c r="D588" s="6">
        <f>-PMT(Inputs!$C$11/12, Inputs!$D$11, Inputs!$B$11)</f>
        <v>193.32801529427914</v>
      </c>
      <c r="E588" s="3">
        <f>C588 * (Inputs!$C$11/12)</f>
        <v>20.952581507200836</v>
      </c>
      <c r="F588" s="6">
        <f t="shared" si="45"/>
        <v>172.37543378707829</v>
      </c>
      <c r="G588" s="6">
        <f t="shared" si="43"/>
        <v>4018.1408676530887</v>
      </c>
      <c r="H588" s="7">
        <f t="shared" si="47"/>
        <v>193.32801529427914</v>
      </c>
    </row>
    <row r="589" spans="1:8" x14ac:dyDescent="0.35">
      <c r="A589" s="2" t="str">
        <f>Inputs!$A$11</f>
        <v>L10</v>
      </c>
      <c r="B589" s="3">
        <v>39</v>
      </c>
      <c r="C589" s="6">
        <f t="shared" si="44"/>
        <v>4018.1408676530887</v>
      </c>
      <c r="D589" s="6">
        <f>-PMT(Inputs!$C$11/12, Inputs!$D$11, Inputs!$B$11)</f>
        <v>193.32801529427914</v>
      </c>
      <c r="E589" s="3">
        <f>C589 * (Inputs!$C$11/12)</f>
        <v>20.090704338265443</v>
      </c>
      <c r="F589" s="6">
        <f t="shared" si="45"/>
        <v>173.23731095601369</v>
      </c>
      <c r="G589" s="6">
        <f t="shared" si="43"/>
        <v>3844.9035566970751</v>
      </c>
      <c r="H589" s="7">
        <f t="shared" si="47"/>
        <v>193.32801529427914</v>
      </c>
    </row>
    <row r="590" spans="1:8" x14ac:dyDescent="0.35">
      <c r="A590" s="2" t="str">
        <f>Inputs!$A$11</f>
        <v>L10</v>
      </c>
      <c r="B590" s="3">
        <v>40</v>
      </c>
      <c r="C590" s="6">
        <f t="shared" si="44"/>
        <v>3844.9035566970751</v>
      </c>
      <c r="D590" s="6">
        <f>-PMT(Inputs!$C$11/12, Inputs!$D$11, Inputs!$B$11)</f>
        <v>193.32801529427914</v>
      </c>
      <c r="E590" s="3">
        <f>C590 * (Inputs!$C$11/12)</f>
        <v>19.224517783485375</v>
      </c>
      <c r="F590" s="6">
        <f t="shared" si="45"/>
        <v>174.10349751079377</v>
      </c>
      <c r="G590" s="6">
        <f t="shared" si="43"/>
        <v>3670.8000591862815</v>
      </c>
      <c r="H590" s="7">
        <f t="shared" si="47"/>
        <v>193.32801529427914</v>
      </c>
    </row>
    <row r="591" spans="1:8" x14ac:dyDescent="0.35">
      <c r="A591" s="2" t="str">
        <f>Inputs!$A$11</f>
        <v>L10</v>
      </c>
      <c r="B591" s="3">
        <v>41</v>
      </c>
      <c r="C591" s="6">
        <f t="shared" si="44"/>
        <v>3670.8000591862815</v>
      </c>
      <c r="D591" s="6">
        <f>-PMT(Inputs!$C$11/12, Inputs!$D$11, Inputs!$B$11)</f>
        <v>193.32801529427914</v>
      </c>
      <c r="E591" s="3">
        <f>C591 * (Inputs!$C$11/12)</f>
        <v>18.354000295931407</v>
      </c>
      <c r="F591" s="6">
        <f t="shared" si="45"/>
        <v>174.97401499834774</v>
      </c>
      <c r="G591" s="6">
        <f t="shared" si="43"/>
        <v>3495.8260441879338</v>
      </c>
      <c r="H591" s="7">
        <f t="shared" si="47"/>
        <v>193.32801529427914</v>
      </c>
    </row>
    <row r="592" spans="1:8" x14ac:dyDescent="0.35">
      <c r="A592" s="2" t="str">
        <f>Inputs!$A$11</f>
        <v>L10</v>
      </c>
      <c r="B592" s="3">
        <v>42</v>
      </c>
      <c r="C592" s="6">
        <f t="shared" si="44"/>
        <v>3495.8260441879338</v>
      </c>
      <c r="D592" s="6">
        <f>-PMT(Inputs!$C$11/12, Inputs!$D$11, Inputs!$B$11)</f>
        <v>193.32801529427914</v>
      </c>
      <c r="E592" s="3">
        <f>C592 * (Inputs!$C$11/12)</f>
        <v>17.47913022093967</v>
      </c>
      <c r="F592" s="6">
        <f t="shared" si="45"/>
        <v>175.84888507333946</v>
      </c>
      <c r="G592" s="6">
        <f t="shared" si="43"/>
        <v>3319.9771591145945</v>
      </c>
      <c r="H592" s="7">
        <f t="shared" si="47"/>
        <v>193.32801529427914</v>
      </c>
    </row>
    <row r="593" spans="1:8" x14ac:dyDescent="0.35">
      <c r="A593" s="2" t="str">
        <f>Inputs!$A$11</f>
        <v>L10</v>
      </c>
      <c r="B593" s="3">
        <v>43</v>
      </c>
      <c r="C593" s="6">
        <f t="shared" si="44"/>
        <v>3319.9771591145945</v>
      </c>
      <c r="D593" s="6">
        <f>-PMT(Inputs!$C$11/12, Inputs!$D$11, Inputs!$B$11)</f>
        <v>193.32801529427914</v>
      </c>
      <c r="E593" s="3">
        <f>C593 * (Inputs!$C$11/12)</f>
        <v>16.599885795572973</v>
      </c>
      <c r="F593" s="6">
        <f t="shared" si="45"/>
        <v>176.72812949870615</v>
      </c>
      <c r="G593" s="6">
        <f t="shared" si="43"/>
        <v>3143.2490296158885</v>
      </c>
      <c r="H593" s="7">
        <f t="shared" si="47"/>
        <v>193.32801529427914</v>
      </c>
    </row>
    <row r="594" spans="1:8" x14ac:dyDescent="0.35">
      <c r="A594" s="2" t="str">
        <f>Inputs!$A$11</f>
        <v>L10</v>
      </c>
      <c r="B594" s="3">
        <v>44</v>
      </c>
      <c r="C594" s="6">
        <f t="shared" si="44"/>
        <v>3143.2490296158885</v>
      </c>
      <c r="D594" s="6">
        <f>-PMT(Inputs!$C$11/12, Inputs!$D$11, Inputs!$B$11)</f>
        <v>193.32801529427914</v>
      </c>
      <c r="E594" s="3">
        <f>C594 * (Inputs!$C$11/12)</f>
        <v>15.716245148079443</v>
      </c>
      <c r="F594" s="6">
        <f t="shared" si="45"/>
        <v>177.61177014619969</v>
      </c>
      <c r="G594" s="6">
        <f t="shared" si="43"/>
        <v>2965.6372594696886</v>
      </c>
      <c r="H594" s="7">
        <f t="shared" si="47"/>
        <v>193.32801529427914</v>
      </c>
    </row>
    <row r="595" spans="1:8" x14ac:dyDescent="0.35">
      <c r="A595" s="2" t="str">
        <f>Inputs!$A$11</f>
        <v>L10</v>
      </c>
      <c r="B595" s="3">
        <v>45</v>
      </c>
      <c r="C595" s="6">
        <f t="shared" si="44"/>
        <v>2965.6372594696886</v>
      </c>
      <c r="D595" s="6">
        <f>-PMT(Inputs!$C$11/12, Inputs!$D$11, Inputs!$B$11)</f>
        <v>193.32801529427914</v>
      </c>
      <c r="E595" s="3">
        <f>C595 * (Inputs!$C$11/12)</f>
        <v>14.828186297348443</v>
      </c>
      <c r="F595" s="6">
        <f t="shared" si="45"/>
        <v>178.49982899693069</v>
      </c>
      <c r="G595" s="6">
        <f t="shared" si="43"/>
        <v>2787.1374304727578</v>
      </c>
      <c r="H595" s="7">
        <f t="shared" si="47"/>
        <v>193.32801529427914</v>
      </c>
    </row>
    <row r="596" spans="1:8" x14ac:dyDescent="0.35">
      <c r="A596" s="2" t="str">
        <f>Inputs!$A$11</f>
        <v>L10</v>
      </c>
      <c r="B596" s="3">
        <v>46</v>
      </c>
      <c r="C596" s="6">
        <f t="shared" si="44"/>
        <v>2787.1374304727578</v>
      </c>
      <c r="D596" s="6">
        <f>-PMT(Inputs!$C$11/12, Inputs!$D$11, Inputs!$B$11)</f>
        <v>193.32801529427914</v>
      </c>
      <c r="E596" s="3">
        <f>C596 * (Inputs!$C$11/12)</f>
        <v>13.935687152363789</v>
      </c>
      <c r="F596" s="6">
        <f t="shared" si="45"/>
        <v>179.39232814191536</v>
      </c>
      <c r="G596" s="6">
        <f t="shared" si="43"/>
        <v>2607.7451023308427</v>
      </c>
      <c r="H596" s="7">
        <f t="shared" si="47"/>
        <v>193.32801529427914</v>
      </c>
    </row>
    <row r="597" spans="1:8" x14ac:dyDescent="0.35">
      <c r="A597" s="2" t="str">
        <f>Inputs!$A$11</f>
        <v>L10</v>
      </c>
      <c r="B597" s="3">
        <v>47</v>
      </c>
      <c r="C597" s="6">
        <f t="shared" si="44"/>
        <v>2607.7451023308427</v>
      </c>
      <c r="D597" s="6">
        <f>-PMT(Inputs!$C$11/12, Inputs!$D$11, Inputs!$B$11)</f>
        <v>193.32801529427914</v>
      </c>
      <c r="E597" s="3">
        <f>C597 * (Inputs!$C$11/12)</f>
        <v>13.038725511654214</v>
      </c>
      <c r="F597" s="6">
        <f t="shared" si="45"/>
        <v>180.28928978262493</v>
      </c>
      <c r="G597" s="6">
        <f t="shared" si="43"/>
        <v>2427.4558125482176</v>
      </c>
      <c r="H597" s="7">
        <f t="shared" si="47"/>
        <v>193.32801529427914</v>
      </c>
    </row>
    <row r="598" spans="1:8" x14ac:dyDescent="0.35">
      <c r="A598" s="2" t="str">
        <f>Inputs!$A$11</f>
        <v>L10</v>
      </c>
      <c r="B598" s="3">
        <v>48</v>
      </c>
      <c r="C598" s="6">
        <f t="shared" si="44"/>
        <v>2427.4558125482176</v>
      </c>
      <c r="D598" s="6">
        <f>-PMT(Inputs!$C$11/12, Inputs!$D$11, Inputs!$B$11)</f>
        <v>193.32801529427914</v>
      </c>
      <c r="E598" s="3">
        <f>C598 * (Inputs!$C$11/12)</f>
        <v>12.137279062741088</v>
      </c>
      <c r="F598" s="6">
        <f t="shared" si="45"/>
        <v>181.19073623153804</v>
      </c>
      <c r="G598" s="6">
        <f t="shared" si="43"/>
        <v>2246.2650763166794</v>
      </c>
      <c r="H598" s="7">
        <f t="shared" si="47"/>
        <v>193.32801529427914</v>
      </c>
    </row>
    <row r="599" spans="1:8" x14ac:dyDescent="0.35">
      <c r="A599" s="2" t="str">
        <f>Inputs!$A$11</f>
        <v>L10</v>
      </c>
      <c r="B599" s="3">
        <v>49</v>
      </c>
      <c r="C599" s="6">
        <f t="shared" si="44"/>
        <v>2246.2650763166794</v>
      </c>
      <c r="D599" s="6">
        <f>-PMT(Inputs!$C$11/12, Inputs!$D$11, Inputs!$B$11)</f>
        <v>193.32801529427914</v>
      </c>
      <c r="E599" s="3">
        <f>C599 * (Inputs!$C$11/12)</f>
        <v>11.231325381583398</v>
      </c>
      <c r="F599" s="6">
        <f t="shared" si="45"/>
        <v>182.09668991269575</v>
      </c>
      <c r="G599" s="6">
        <f t="shared" si="43"/>
        <v>2064.1683864039837</v>
      </c>
      <c r="H599" s="7">
        <f t="shared" si="47"/>
        <v>193.32801529427914</v>
      </c>
    </row>
    <row r="600" spans="1:8" x14ac:dyDescent="0.35">
      <c r="A600" s="2" t="str">
        <f>Inputs!$A$11</f>
        <v>L10</v>
      </c>
      <c r="B600" s="3">
        <v>50</v>
      </c>
      <c r="C600" s="6">
        <f t="shared" si="44"/>
        <v>2064.1683864039837</v>
      </c>
      <c r="D600" s="6">
        <f>-PMT(Inputs!$C$11/12, Inputs!$D$11, Inputs!$B$11)</f>
        <v>193.32801529427914</v>
      </c>
      <c r="E600" s="3">
        <f>C600 * (Inputs!$C$11/12)</f>
        <v>10.320841932019919</v>
      </c>
      <c r="F600" s="6">
        <f t="shared" si="45"/>
        <v>183.00717336225921</v>
      </c>
      <c r="G600" s="6">
        <f t="shared" si="43"/>
        <v>1881.1612130417245</v>
      </c>
      <c r="H600" s="7">
        <f t="shared" si="47"/>
        <v>193.32801529427914</v>
      </c>
    </row>
    <row r="601" spans="1:8" x14ac:dyDescent="0.35">
      <c r="A601" s="2" t="str">
        <f>Inputs!$A$11</f>
        <v>L10</v>
      </c>
      <c r="B601" s="3">
        <v>51</v>
      </c>
      <c r="C601" s="6">
        <f t="shared" si="44"/>
        <v>1881.1612130417245</v>
      </c>
      <c r="D601" s="6">
        <f>-PMT(Inputs!$C$11/12, Inputs!$D$11, Inputs!$B$11)</f>
        <v>193.32801529427914</v>
      </c>
      <c r="E601" s="3">
        <f>C601 * (Inputs!$C$11/12)</f>
        <v>9.4058060652086226</v>
      </c>
      <c r="F601" s="6">
        <f t="shared" si="45"/>
        <v>183.92220922907052</v>
      </c>
      <c r="G601" s="6">
        <f t="shared" si="43"/>
        <v>1697.2390038126541</v>
      </c>
      <c r="H601" s="7">
        <f t="shared" si="47"/>
        <v>193.32801529427914</v>
      </c>
    </row>
    <row r="602" spans="1:8" x14ac:dyDescent="0.35">
      <c r="A602" s="2" t="str">
        <f>Inputs!$A$11</f>
        <v>L10</v>
      </c>
      <c r="B602" s="3">
        <v>52</v>
      </c>
      <c r="C602" s="6">
        <f t="shared" si="44"/>
        <v>1697.2390038126541</v>
      </c>
      <c r="D602" s="6">
        <f>-PMT(Inputs!$C$11/12, Inputs!$D$11, Inputs!$B$11)</f>
        <v>193.32801529427914</v>
      </c>
      <c r="E602" s="3">
        <f>C602 * (Inputs!$C$11/12)</f>
        <v>8.4861950190632705</v>
      </c>
      <c r="F602" s="6">
        <f t="shared" si="45"/>
        <v>184.84182027521587</v>
      </c>
      <c r="G602" s="6">
        <f t="shared" si="43"/>
        <v>1512.3971835374382</v>
      </c>
      <c r="H602" s="7">
        <f t="shared" si="47"/>
        <v>193.32801529427914</v>
      </c>
    </row>
    <row r="603" spans="1:8" x14ac:dyDescent="0.35">
      <c r="A603" s="2" t="str">
        <f>Inputs!$A$11</f>
        <v>L10</v>
      </c>
      <c r="B603" s="3">
        <v>53</v>
      </c>
      <c r="C603" s="6">
        <f t="shared" si="44"/>
        <v>1512.3971835374382</v>
      </c>
      <c r="D603" s="6">
        <f>-PMT(Inputs!$C$11/12, Inputs!$D$11, Inputs!$B$11)</f>
        <v>193.32801529427914</v>
      </c>
      <c r="E603" s="3">
        <f>C603 * (Inputs!$C$11/12)</f>
        <v>7.5619859176871911</v>
      </c>
      <c r="F603" s="6">
        <f t="shared" si="45"/>
        <v>185.76602937659194</v>
      </c>
      <c r="G603" s="6">
        <f t="shared" si="43"/>
        <v>1326.6311541608463</v>
      </c>
      <c r="H603" s="7">
        <f t="shared" si="47"/>
        <v>193.32801529427914</v>
      </c>
    </row>
    <row r="604" spans="1:8" x14ac:dyDescent="0.35">
      <c r="A604" s="2" t="str">
        <f>Inputs!$A$11</f>
        <v>L10</v>
      </c>
      <c r="B604" s="3">
        <v>54</v>
      </c>
      <c r="C604" s="6">
        <f t="shared" si="44"/>
        <v>1326.6311541608463</v>
      </c>
      <c r="D604" s="6">
        <f>-PMT(Inputs!$C$11/12, Inputs!$D$11, Inputs!$B$11)</f>
        <v>193.32801529427914</v>
      </c>
      <c r="E604" s="3">
        <f>C604 * (Inputs!$C$11/12)</f>
        <v>6.6331557708042315</v>
      </c>
      <c r="F604" s="6">
        <f t="shared" si="45"/>
        <v>186.69485952347492</v>
      </c>
      <c r="G604" s="6">
        <f t="shared" si="43"/>
        <v>1139.9362946373715</v>
      </c>
      <c r="H604" s="7">
        <f t="shared" si="47"/>
        <v>193.32801529427914</v>
      </c>
    </row>
    <row r="605" spans="1:8" x14ac:dyDescent="0.35">
      <c r="A605" s="2" t="str">
        <f>Inputs!$A$11</f>
        <v>L10</v>
      </c>
      <c r="B605" s="3">
        <v>55</v>
      </c>
      <c r="C605" s="6">
        <f t="shared" si="44"/>
        <v>1139.9362946373715</v>
      </c>
      <c r="D605" s="6">
        <f>-PMT(Inputs!$C$11/12, Inputs!$D$11, Inputs!$B$11)</f>
        <v>193.32801529427914</v>
      </c>
      <c r="E605" s="3">
        <f>C605 * (Inputs!$C$11/12)</f>
        <v>5.6996814731868577</v>
      </c>
      <c r="F605" s="6">
        <f t="shared" si="45"/>
        <v>187.62833382109227</v>
      </c>
      <c r="G605" s="6">
        <f t="shared" si="43"/>
        <v>952.30796081627921</v>
      </c>
      <c r="H605" s="7">
        <f t="shared" si="47"/>
        <v>193.32801529427914</v>
      </c>
    </row>
    <row r="606" spans="1:8" x14ac:dyDescent="0.35">
      <c r="A606" s="2" t="str">
        <f>Inputs!$A$11</f>
        <v>L10</v>
      </c>
      <c r="B606" s="3">
        <v>56</v>
      </c>
      <c r="C606" s="6">
        <f t="shared" si="44"/>
        <v>952.30796081627921</v>
      </c>
      <c r="D606" s="6">
        <f>-PMT(Inputs!$C$11/12, Inputs!$D$11, Inputs!$B$11)</f>
        <v>193.32801529427914</v>
      </c>
      <c r="E606" s="3">
        <f>C606 * (Inputs!$C$11/12)</f>
        <v>4.7615398040813961</v>
      </c>
      <c r="F606" s="6">
        <f t="shared" si="45"/>
        <v>188.56647549019775</v>
      </c>
      <c r="G606" s="6">
        <f t="shared" si="43"/>
        <v>763.74148532608149</v>
      </c>
      <c r="H606" s="7">
        <f t="shared" si="47"/>
        <v>193.32801529427914</v>
      </c>
    </row>
    <row r="607" spans="1:8" x14ac:dyDescent="0.35">
      <c r="A607" s="2" t="str">
        <f>Inputs!$A$11</f>
        <v>L10</v>
      </c>
      <c r="B607" s="3">
        <v>57</v>
      </c>
      <c r="C607" s="6">
        <f t="shared" si="44"/>
        <v>763.74148532608149</v>
      </c>
      <c r="D607" s="6">
        <f>-PMT(Inputs!$C$11/12, Inputs!$D$11, Inputs!$B$11)</f>
        <v>193.32801529427914</v>
      </c>
      <c r="E607" s="3">
        <f>C607 * (Inputs!$C$11/12)</f>
        <v>3.8187074266304073</v>
      </c>
      <c r="F607" s="6">
        <f t="shared" si="45"/>
        <v>189.50930786764874</v>
      </c>
      <c r="G607" s="6">
        <f t="shared" si="43"/>
        <v>574.23217745843272</v>
      </c>
      <c r="H607" s="7">
        <f t="shared" si="47"/>
        <v>193.32801529427914</v>
      </c>
    </row>
    <row r="608" spans="1:8" x14ac:dyDescent="0.35">
      <c r="A608" s="2" t="str">
        <f>Inputs!$A$11</f>
        <v>L10</v>
      </c>
      <c r="B608" s="3">
        <v>58</v>
      </c>
      <c r="C608" s="6">
        <f t="shared" si="44"/>
        <v>574.23217745843272</v>
      </c>
      <c r="D608" s="6">
        <f>-PMT(Inputs!$C$11/12, Inputs!$D$11, Inputs!$B$11)</f>
        <v>193.32801529427914</v>
      </c>
      <c r="E608" s="3">
        <f>C608 * (Inputs!$C$11/12)</f>
        <v>2.8711608872921635</v>
      </c>
      <c r="F608" s="6">
        <f t="shared" si="45"/>
        <v>190.45685440698696</v>
      </c>
      <c r="G608" s="6">
        <f t="shared" si="43"/>
        <v>383.77532305144575</v>
      </c>
      <c r="H608" s="7">
        <f t="shared" si="47"/>
        <v>193.32801529427914</v>
      </c>
    </row>
    <row r="609" spans="1:8" x14ac:dyDescent="0.35">
      <c r="A609" s="2" t="str">
        <f>Inputs!$A$11</f>
        <v>L10</v>
      </c>
      <c r="B609" s="3">
        <v>59</v>
      </c>
      <c r="C609" s="6">
        <f t="shared" si="44"/>
        <v>383.77532305144575</v>
      </c>
      <c r="D609" s="6">
        <f>-PMT(Inputs!$C$11/12, Inputs!$D$11, Inputs!$B$11)</f>
        <v>193.32801529427914</v>
      </c>
      <c r="E609" s="3">
        <f>C609 * (Inputs!$C$11/12)</f>
        <v>1.9188766152572287</v>
      </c>
      <c r="F609" s="6">
        <f t="shared" si="45"/>
        <v>191.40913867902191</v>
      </c>
      <c r="G609" s="6">
        <f t="shared" si="43"/>
        <v>192.36618437242385</v>
      </c>
      <c r="H609" s="7">
        <f t="shared" si="47"/>
        <v>193.32801529427914</v>
      </c>
    </row>
    <row r="610" spans="1:8" x14ac:dyDescent="0.35">
      <c r="A610" s="2" t="str">
        <f>Inputs!$A$11</f>
        <v>L10</v>
      </c>
      <c r="B610" s="4">
        <v>60</v>
      </c>
      <c r="C610" s="6">
        <f t="shared" si="44"/>
        <v>192.36618437242385</v>
      </c>
      <c r="D610" s="6">
        <f>-PMT(Inputs!$C$11/12, Inputs!$D$11, Inputs!$B$11)</f>
        <v>193.32801529427914</v>
      </c>
      <c r="E610" s="3">
        <f>C610 * (Inputs!$C$11/12)</f>
        <v>0.96183092186211927</v>
      </c>
      <c r="F610" s="6">
        <f t="shared" si="45"/>
        <v>192.36618437241702</v>
      </c>
      <c r="G610" s="6">
        <f>C610 - F610</f>
        <v>6.8212102632969618E-12</v>
      </c>
      <c r="H610" s="8">
        <f>D610</f>
        <v>193.32801529427914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1"/>
  <sheetViews>
    <sheetView workbookViewId="0">
      <selection activeCell="P11" sqref="P11"/>
    </sheetView>
  </sheetViews>
  <sheetFormatPr defaultRowHeight="14.5" x14ac:dyDescent="0.35"/>
  <cols>
    <col min="2" max="2" width="10" customWidth="1"/>
  </cols>
  <sheetData>
    <row r="1" spans="1:2" x14ac:dyDescent="0.35">
      <c r="A1" t="s">
        <v>25</v>
      </c>
      <c r="B1" t="s">
        <v>39</v>
      </c>
    </row>
    <row r="2" spans="1:2" x14ac:dyDescent="0.35">
      <c r="A2">
        <v>1</v>
      </c>
      <c r="B2">
        <f>SUMIF(Schedule!$B$2:$B$610, A2, Schedule!$H$2:$H$610)</f>
        <v>5006.1684275049565</v>
      </c>
    </row>
    <row r="3" spans="1:2" x14ac:dyDescent="0.35">
      <c r="A3">
        <v>2</v>
      </c>
      <c r="B3">
        <f>SUMIF(Schedule!$B$2:$B$610, A3, Schedule!$H$2:$H$610)</f>
        <v>5006.1684275049565</v>
      </c>
    </row>
    <row r="4" spans="1:2" x14ac:dyDescent="0.35">
      <c r="A4">
        <v>3</v>
      </c>
      <c r="B4">
        <f>SUMIF(Schedule!$B$2:$B$610, A4, Schedule!$H$2:$H$610)</f>
        <v>5006.1684275049565</v>
      </c>
    </row>
    <row r="5" spans="1:2" x14ac:dyDescent="0.35">
      <c r="A5">
        <v>4</v>
      </c>
      <c r="B5">
        <f>SUMIF(Schedule!$B$2:$B$610, A5, Schedule!$H$2:$H$610)</f>
        <v>5006.1684275049565</v>
      </c>
    </row>
    <row r="6" spans="1:2" x14ac:dyDescent="0.35">
      <c r="A6">
        <v>5</v>
      </c>
      <c r="B6">
        <f>SUMIF(Schedule!$B$2:$B$610, A6, Schedule!$H$2:$H$610)</f>
        <v>5006.1684275049565</v>
      </c>
    </row>
    <row r="7" spans="1:2" x14ac:dyDescent="0.35">
      <c r="A7">
        <v>6</v>
      </c>
      <c r="B7">
        <f>SUMIF(Schedule!$B$2:$B$610, A7, Schedule!$H$2:$H$610)</f>
        <v>5006.1684275049565</v>
      </c>
    </row>
    <row r="8" spans="1:2" x14ac:dyDescent="0.35">
      <c r="A8">
        <v>7</v>
      </c>
      <c r="B8">
        <f>SUMIF(Schedule!$B$2:$B$610, A8, Schedule!$H$2:$H$610)</f>
        <v>5006.1684275049565</v>
      </c>
    </row>
    <row r="9" spans="1:2" x14ac:dyDescent="0.35">
      <c r="A9">
        <v>8</v>
      </c>
      <c r="B9">
        <f>SUMIF(Schedule!$B$2:$B$610, A9, Schedule!$H$2:$H$610)</f>
        <v>5006.1684275049565</v>
      </c>
    </row>
    <row r="10" spans="1:2" x14ac:dyDescent="0.35">
      <c r="A10">
        <v>9</v>
      </c>
      <c r="B10">
        <f>SUMIF(Schedule!$B$2:$B$610, A10, Schedule!$H$2:$H$610)</f>
        <v>5006.1684275049565</v>
      </c>
    </row>
    <row r="11" spans="1:2" x14ac:dyDescent="0.35">
      <c r="A11">
        <v>10</v>
      </c>
      <c r="B11">
        <f>SUMIF(Schedule!$B$2:$B$610, A11, Schedule!$H$2:$H$610)</f>
        <v>5006.1684275049565</v>
      </c>
    </row>
    <row r="12" spans="1:2" x14ac:dyDescent="0.35">
      <c r="A12">
        <v>11</v>
      </c>
      <c r="B12">
        <f>SUMIF(Schedule!$B$2:$B$610, A12, Schedule!$H$2:$H$610)</f>
        <v>5006.1684275049565</v>
      </c>
    </row>
    <row r="13" spans="1:2" x14ac:dyDescent="0.35">
      <c r="A13">
        <v>12</v>
      </c>
      <c r="B13">
        <f>SUMIF(Schedule!$B$2:$B$610, A13, Schedule!$H$2:$H$610)</f>
        <v>5006.1684275049565</v>
      </c>
    </row>
    <row r="14" spans="1:2" x14ac:dyDescent="0.35">
      <c r="A14">
        <v>13</v>
      </c>
      <c r="B14">
        <f>SUMIF(Schedule!$B$2:$B$610, A14, Schedule!$H$2:$H$610)</f>
        <v>5006.1684275049565</v>
      </c>
    </row>
    <row r="15" spans="1:2" x14ac:dyDescent="0.35">
      <c r="A15">
        <v>14</v>
      </c>
      <c r="B15">
        <f>SUMIF(Schedule!$B$2:$B$610, A15, Schedule!$H$2:$H$610)</f>
        <v>5006.1684275049565</v>
      </c>
    </row>
    <row r="16" spans="1:2" x14ac:dyDescent="0.35">
      <c r="A16">
        <v>15</v>
      </c>
      <c r="B16">
        <f>SUMIF(Schedule!$B$2:$B$610, A16, Schedule!$H$2:$H$610)</f>
        <v>5006.1684275049565</v>
      </c>
    </row>
    <row r="17" spans="1:2" x14ac:dyDescent="0.35">
      <c r="A17">
        <v>16</v>
      </c>
      <c r="B17">
        <f>SUMIF(Schedule!$B$2:$B$610, A17, Schedule!$H$2:$H$610)</f>
        <v>5006.1684275049565</v>
      </c>
    </row>
    <row r="18" spans="1:2" x14ac:dyDescent="0.35">
      <c r="A18">
        <v>17</v>
      </c>
      <c r="B18">
        <f>SUMIF(Schedule!$B$2:$B$610, A18, Schedule!$H$2:$H$610)</f>
        <v>5006.1684275049565</v>
      </c>
    </row>
    <row r="19" spans="1:2" x14ac:dyDescent="0.35">
      <c r="A19">
        <v>18</v>
      </c>
      <c r="B19">
        <f>SUMIF(Schedule!$B$2:$B$610, A19, Schedule!$H$2:$H$610)</f>
        <v>5006.1684275049565</v>
      </c>
    </row>
    <row r="20" spans="1:2" x14ac:dyDescent="0.35">
      <c r="A20">
        <v>19</v>
      </c>
      <c r="B20">
        <f>SUMIF(Schedule!$B$2:$B$610, A20, Schedule!$H$2:$H$610)</f>
        <v>5006.1684275049565</v>
      </c>
    </row>
    <row r="21" spans="1:2" x14ac:dyDescent="0.35">
      <c r="A21">
        <v>20</v>
      </c>
      <c r="B21">
        <f>SUMIF(Schedule!$B$2:$B$610, A21, Schedule!$H$2:$H$610)</f>
        <v>5006.1684275049565</v>
      </c>
    </row>
    <row r="22" spans="1:2" x14ac:dyDescent="0.35">
      <c r="A22">
        <v>21</v>
      </c>
      <c r="B22">
        <f>SUMIF(Schedule!$B$2:$B$610, A22, Schedule!$H$2:$H$610)</f>
        <v>5006.1684275049565</v>
      </c>
    </row>
    <row r="23" spans="1:2" x14ac:dyDescent="0.35">
      <c r="A23">
        <v>22</v>
      </c>
      <c r="B23">
        <f>SUMIF(Schedule!$B$2:$B$610, A23, Schedule!$H$2:$H$610)</f>
        <v>5006.1684275049565</v>
      </c>
    </row>
    <row r="24" spans="1:2" x14ac:dyDescent="0.35">
      <c r="A24">
        <v>23</v>
      </c>
      <c r="B24">
        <f>SUMIF(Schedule!$B$2:$B$610, A24, Schedule!$H$2:$H$610)</f>
        <v>5006.1684275049565</v>
      </c>
    </row>
    <row r="25" spans="1:2" x14ac:dyDescent="0.35">
      <c r="A25">
        <v>24</v>
      </c>
      <c r="B25">
        <f>SUMIF(Schedule!$B$2:$B$610, A25, Schedule!$H$2:$H$610)</f>
        <v>5006.1684275049565</v>
      </c>
    </row>
    <row r="26" spans="1:2" x14ac:dyDescent="0.35">
      <c r="A26">
        <v>25</v>
      </c>
      <c r="B26">
        <f>SUMIF(Schedule!$B$2:$B$610, A26, Schedule!$H$2:$H$610)</f>
        <v>5006.1684275049565</v>
      </c>
    </row>
    <row r="27" spans="1:2" x14ac:dyDescent="0.35">
      <c r="A27">
        <v>26</v>
      </c>
      <c r="B27">
        <f>SUMIF(Schedule!$B$2:$B$610, A27, Schedule!$H$2:$H$610)</f>
        <v>5006.1684275049565</v>
      </c>
    </row>
    <row r="28" spans="1:2" x14ac:dyDescent="0.35">
      <c r="A28">
        <v>27</v>
      </c>
      <c r="B28">
        <f>SUMIF(Schedule!$B$2:$B$610, A28, Schedule!$H$2:$H$610)</f>
        <v>5006.1684275049565</v>
      </c>
    </row>
    <row r="29" spans="1:2" x14ac:dyDescent="0.35">
      <c r="A29">
        <v>28</v>
      </c>
      <c r="B29">
        <f>SUMIF(Schedule!$B$2:$B$610, A29, Schedule!$H$2:$H$610)</f>
        <v>5006.1684275049565</v>
      </c>
    </row>
    <row r="30" spans="1:2" x14ac:dyDescent="0.35">
      <c r="A30">
        <v>29</v>
      </c>
      <c r="B30">
        <f>SUMIF(Schedule!$B$2:$B$610, A30, Schedule!$H$2:$H$610)</f>
        <v>5006.1684275049565</v>
      </c>
    </row>
    <row r="31" spans="1:2" x14ac:dyDescent="0.35">
      <c r="A31">
        <v>30</v>
      </c>
      <c r="B31">
        <f>SUMIF(Schedule!$B$2:$B$610, A31, Schedule!$H$2:$H$610)</f>
        <v>5006.1684275049565</v>
      </c>
    </row>
    <row r="32" spans="1:2" x14ac:dyDescent="0.35">
      <c r="A32">
        <v>31</v>
      </c>
      <c r="B32">
        <f>SUMIF(Schedule!$B$2:$B$610, A32, Schedule!$H$2:$H$610)</f>
        <v>5006.1684275049565</v>
      </c>
    </row>
    <row r="33" spans="1:2" x14ac:dyDescent="0.35">
      <c r="A33">
        <v>32</v>
      </c>
      <c r="B33">
        <f>SUMIF(Schedule!$B$2:$B$610, A33, Schedule!$H$2:$H$610)</f>
        <v>5006.1684275049565</v>
      </c>
    </row>
    <row r="34" spans="1:2" x14ac:dyDescent="0.35">
      <c r="A34">
        <v>33</v>
      </c>
      <c r="B34">
        <f>SUMIF(Schedule!$B$2:$B$610, A34, Schedule!$H$2:$H$610)</f>
        <v>5006.1684275049565</v>
      </c>
    </row>
    <row r="35" spans="1:2" x14ac:dyDescent="0.35">
      <c r="A35">
        <v>34</v>
      </c>
      <c r="B35">
        <f>SUMIF(Schedule!$B$2:$B$610, A35, Schedule!$H$2:$H$610)</f>
        <v>5006.1684275049565</v>
      </c>
    </row>
    <row r="36" spans="1:2" x14ac:dyDescent="0.35">
      <c r="A36">
        <v>35</v>
      </c>
      <c r="B36">
        <f>SUMIF(Schedule!$B$2:$B$610, A36, Schedule!$H$2:$H$610)</f>
        <v>5006.1684275049565</v>
      </c>
    </row>
    <row r="37" spans="1:2" x14ac:dyDescent="0.35">
      <c r="A37">
        <v>36</v>
      </c>
      <c r="B37">
        <f>SUMIF(Schedule!$B$2:$B$610, A37, Schedule!$H$2:$H$610)</f>
        <v>5006.1684275049565</v>
      </c>
    </row>
    <row r="38" spans="1:2" x14ac:dyDescent="0.35">
      <c r="A38">
        <v>37</v>
      </c>
      <c r="B38">
        <f>SUMIF(Schedule!$B$2:$B$610, A38, Schedule!$H$2:$H$610)</f>
        <v>5006.1684275049565</v>
      </c>
    </row>
    <row r="39" spans="1:2" x14ac:dyDescent="0.35">
      <c r="A39">
        <v>38</v>
      </c>
      <c r="B39">
        <f>SUMIF(Schedule!$B$2:$B$610, A39, Schedule!$H$2:$H$610)</f>
        <v>5006.1684275049565</v>
      </c>
    </row>
    <row r="40" spans="1:2" x14ac:dyDescent="0.35">
      <c r="A40">
        <v>39</v>
      </c>
      <c r="B40">
        <f>SUMIF(Schedule!$B$2:$B$610, A40, Schedule!$H$2:$H$610)</f>
        <v>5006.1684275049565</v>
      </c>
    </row>
    <row r="41" spans="1:2" x14ac:dyDescent="0.35">
      <c r="A41">
        <v>40</v>
      </c>
      <c r="B41">
        <f>SUMIF(Schedule!$B$2:$B$610, A41, Schedule!$H$2:$H$610)</f>
        <v>5006.1684275049565</v>
      </c>
    </row>
    <row r="42" spans="1:2" x14ac:dyDescent="0.35">
      <c r="A42">
        <v>41</v>
      </c>
      <c r="B42">
        <f>SUMIF(Schedule!$B$2:$B$610, A42, Schedule!$H$2:$H$610)</f>
        <v>5006.1684275049565</v>
      </c>
    </row>
    <row r="43" spans="1:2" x14ac:dyDescent="0.35">
      <c r="A43">
        <v>42</v>
      </c>
      <c r="B43">
        <f>SUMIF(Schedule!$B$2:$B$610, A43, Schedule!$H$2:$H$610)</f>
        <v>5006.1684275049565</v>
      </c>
    </row>
    <row r="44" spans="1:2" x14ac:dyDescent="0.35">
      <c r="A44">
        <v>43</v>
      </c>
      <c r="B44">
        <f>SUMIF(Schedule!$B$2:$B$610, A44, Schedule!$H$2:$H$610)</f>
        <v>5006.1684275049565</v>
      </c>
    </row>
    <row r="45" spans="1:2" x14ac:dyDescent="0.35">
      <c r="A45">
        <v>44</v>
      </c>
      <c r="B45">
        <f>SUMIF(Schedule!$B$2:$B$610, A45, Schedule!$H$2:$H$610)</f>
        <v>5006.1684275049565</v>
      </c>
    </row>
    <row r="46" spans="1:2" x14ac:dyDescent="0.35">
      <c r="A46">
        <v>45</v>
      </c>
      <c r="B46">
        <f>SUMIF(Schedule!$B$2:$B$610, A46, Schedule!$H$2:$H$610)</f>
        <v>5006.1684275049565</v>
      </c>
    </row>
    <row r="47" spans="1:2" x14ac:dyDescent="0.35">
      <c r="A47">
        <v>46</v>
      </c>
      <c r="B47">
        <f>SUMIF(Schedule!$B$2:$B$610, A47, Schedule!$H$2:$H$610)</f>
        <v>5006.1684275049565</v>
      </c>
    </row>
    <row r="48" spans="1:2" x14ac:dyDescent="0.35">
      <c r="A48">
        <v>47</v>
      </c>
      <c r="B48">
        <f>SUMIF(Schedule!$B$2:$B$610, A48, Schedule!$H$2:$H$610)</f>
        <v>5006.1684275049565</v>
      </c>
    </row>
    <row r="49" spans="1:2" x14ac:dyDescent="0.35">
      <c r="A49">
        <v>48</v>
      </c>
      <c r="B49">
        <f>SUMIF(Schedule!$B$2:$B$610, A49, Schedule!$H$2:$H$610)</f>
        <v>5006.1684275049565</v>
      </c>
    </row>
    <row r="50" spans="1:2" x14ac:dyDescent="0.35">
      <c r="A50">
        <v>49</v>
      </c>
      <c r="B50">
        <f>SUMIF(Schedule!$B$2:$B$610, A50, Schedule!$H$2:$H$610)</f>
        <v>5006.1684275049565</v>
      </c>
    </row>
    <row r="51" spans="1:2" x14ac:dyDescent="0.35">
      <c r="A51">
        <v>50</v>
      </c>
      <c r="B51">
        <f>SUMIF(Schedule!$B$2:$B$610, A51, Schedule!$H$2:$H$610)</f>
        <v>5006.1684275049565</v>
      </c>
    </row>
    <row r="52" spans="1:2" x14ac:dyDescent="0.35">
      <c r="A52">
        <v>51</v>
      </c>
      <c r="B52">
        <f>SUMIF(Schedule!$B$2:$B$610, A52, Schedule!$H$2:$H$610)</f>
        <v>5006.1684275049565</v>
      </c>
    </row>
    <row r="53" spans="1:2" x14ac:dyDescent="0.35">
      <c r="A53">
        <v>52</v>
      </c>
      <c r="B53">
        <f>SUMIF(Schedule!$B$2:$B$610, A53, Schedule!$H$2:$H$610)</f>
        <v>5006.1684275049565</v>
      </c>
    </row>
    <row r="54" spans="1:2" x14ac:dyDescent="0.35">
      <c r="A54">
        <v>53</v>
      </c>
      <c r="B54">
        <f>SUMIF(Schedule!$B$2:$B$610, A54, Schedule!$H$2:$H$610)</f>
        <v>5006.1684275049565</v>
      </c>
    </row>
    <row r="55" spans="1:2" x14ac:dyDescent="0.35">
      <c r="A55">
        <v>54</v>
      </c>
      <c r="B55">
        <f>SUMIF(Schedule!$B$2:$B$610, A55, Schedule!$H$2:$H$610)</f>
        <v>5006.1684275049565</v>
      </c>
    </row>
    <row r="56" spans="1:2" x14ac:dyDescent="0.35">
      <c r="A56">
        <v>55</v>
      </c>
      <c r="B56">
        <f>SUMIF(Schedule!$B$2:$B$610, A56, Schedule!$H$2:$H$610)</f>
        <v>5006.1684275049565</v>
      </c>
    </row>
    <row r="57" spans="1:2" x14ac:dyDescent="0.35">
      <c r="A57">
        <v>56</v>
      </c>
      <c r="B57">
        <f>SUMIF(Schedule!$B$2:$B$610, A57, Schedule!$H$2:$H$610)</f>
        <v>5006.1684275049565</v>
      </c>
    </row>
    <row r="58" spans="1:2" x14ac:dyDescent="0.35">
      <c r="A58">
        <v>57</v>
      </c>
      <c r="B58">
        <f>SUMIF(Schedule!$B$2:$B$610, A58, Schedule!$H$2:$H$610)</f>
        <v>5006.1684275049565</v>
      </c>
    </row>
    <row r="59" spans="1:2" x14ac:dyDescent="0.35">
      <c r="A59">
        <v>58</v>
      </c>
      <c r="B59">
        <f>SUMIF(Schedule!$B$2:$B$610, A59, Schedule!$H$2:$H$610)</f>
        <v>5006.1684275049565</v>
      </c>
    </row>
    <row r="60" spans="1:2" x14ac:dyDescent="0.35">
      <c r="A60">
        <v>59</v>
      </c>
      <c r="B60">
        <f>SUMIF(Schedule!$B$2:$B$610, A60, Schedule!$H$2:$H$610)</f>
        <v>5006.1684275049565</v>
      </c>
    </row>
    <row r="61" spans="1:2" x14ac:dyDescent="0.35">
      <c r="A61">
        <v>60</v>
      </c>
      <c r="B61">
        <f>SUMIF(Schedule!$B$2:$B$610, A61, Schedule!$H$2:$H$610)</f>
        <v>5006.1684275049565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selection activeCell="B4" sqref="B4"/>
    </sheetView>
  </sheetViews>
  <sheetFormatPr defaultRowHeight="14.5" x14ac:dyDescent="0.35"/>
  <cols>
    <col min="2" max="2" width="13" customWidth="1"/>
    <col min="3" max="3" width="9" customWidth="1"/>
    <col min="4" max="4" width="9.90625" customWidth="1"/>
    <col min="5" max="5" width="9.54296875" customWidth="1"/>
    <col min="6" max="6" width="8.90625" customWidth="1"/>
    <col min="7" max="7" width="9.81640625" customWidth="1"/>
    <col min="8" max="8" width="9.453125" customWidth="1"/>
  </cols>
  <sheetData>
    <row r="1" spans="1:8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5">
      <c r="A2">
        <v>1</v>
      </c>
      <c r="B2">
        <f>Portfolio!B2</f>
        <v>5006.1684275049565</v>
      </c>
      <c r="C2">
        <f>1/(1+r_low_m)^A2</f>
        <v>0.9975397977501389</v>
      </c>
      <c r="D2">
        <f>1/(1+r_base_m)^A2</f>
        <v>0.99594240735106698</v>
      </c>
      <c r="E2">
        <f t="shared" ref="E2:E33" si="0">1/(1+r_high_m)^A2</f>
        <v>0.99360710198829405</v>
      </c>
      <c r="F2">
        <f>B2*C2</f>
        <v>4993.852240676425</v>
      </c>
      <c r="G2">
        <f>B2*D2</f>
        <v>4985.8554352941919</v>
      </c>
      <c r="H2">
        <f>B2*E2</f>
        <v>4974.164503318495</v>
      </c>
    </row>
    <row r="3" spans="1:8" x14ac:dyDescent="0.35">
      <c r="A3">
        <v>2</v>
      </c>
      <c r="B3">
        <f>Portfolio!B3</f>
        <v>5006.1684275049565</v>
      </c>
      <c r="C3">
        <f t="shared" ref="C3:C33" si="1">1/(1+r_low_m)^A3</f>
        <v>0.99508564809538802</v>
      </c>
      <c r="D3">
        <f t="shared" ref="D3:D33" si="2">1/(1+r_base_m)^A3</f>
        <v>0.9919012787602387</v>
      </c>
      <c r="E3">
        <f t="shared" si="0"/>
        <v>0.98725507312157612</v>
      </c>
      <c r="F3">
        <f>B3*C3</f>
        <v>4981.566354158439</v>
      </c>
      <c r="G3">
        <f t="shared" ref="G3:G33" si="3">B3*D3</f>
        <v>4965.6248649312993</v>
      </c>
      <c r="H3">
        <f t="shared" ref="H3:H33" si="4">B3*E3</f>
        <v>4942.3651769553317</v>
      </c>
    </row>
    <row r="4" spans="1:8" x14ac:dyDescent="0.35">
      <c r="A4">
        <v>3</v>
      </c>
      <c r="B4">
        <f>Portfolio!B4</f>
        <v>5006.1684275049565</v>
      </c>
      <c r="C4">
        <f t="shared" si="1"/>
        <v>0.99263753614513939</v>
      </c>
      <c r="D4">
        <f t="shared" si="2"/>
        <v>0.98787654742307385</v>
      </c>
      <c r="E4">
        <f t="shared" si="0"/>
        <v>0.98094365212757062</v>
      </c>
      <c r="F4">
        <f t="shared" ref="F4:F33" si="5">B4*C4</f>
        <v>4969.310693406107</v>
      </c>
      <c r="G4">
        <f t="shared" si="3"/>
        <v>4945.4763819819955</v>
      </c>
      <c r="H4">
        <f t="shared" si="4"/>
        <v>4910.7691404424495</v>
      </c>
    </row>
    <row r="5" spans="1:8" x14ac:dyDescent="0.35">
      <c r="A5">
        <v>4</v>
      </c>
      <c r="B5">
        <f>Portfolio!B5</f>
        <v>5006.1684275049565</v>
      </c>
      <c r="C5">
        <f t="shared" si="1"/>
        <v>0.99019544704541862</v>
      </c>
      <c r="D5">
        <f t="shared" si="2"/>
        <v>0.98386814680619672</v>
      </c>
      <c r="E5">
        <f t="shared" si="0"/>
        <v>0.97467257940428875</v>
      </c>
      <c r="F5">
        <f t="shared" si="5"/>
        <v>4957.0851840579307</v>
      </c>
      <c r="G5">
        <f t="shared" si="3"/>
        <v>4925.4096533689935</v>
      </c>
      <c r="H5">
        <f t="shared" si="4"/>
        <v>4879.3750941685685</v>
      </c>
    </row>
    <row r="6" spans="1:8" x14ac:dyDescent="0.35">
      <c r="A6">
        <v>5</v>
      </c>
      <c r="B6">
        <f>Portfolio!B6</f>
        <v>5006.1684275049565</v>
      </c>
      <c r="C6">
        <f t="shared" si="1"/>
        <v>0.98775936597879532</v>
      </c>
      <c r="D6">
        <f t="shared" si="2"/>
        <v>0.97987601064619656</v>
      </c>
      <c r="E6">
        <f t="shared" si="0"/>
        <v>0.96844159700935073</v>
      </c>
      <c r="F6">
        <f t="shared" si="5"/>
        <v>4944.8897519353586</v>
      </c>
      <c r="G6">
        <f t="shared" si="3"/>
        <v>4905.4243473665001</v>
      </c>
      <c r="H6">
        <f t="shared" si="4"/>
        <v>4848.1817468306899</v>
      </c>
    </row>
    <row r="7" spans="1:8" x14ac:dyDescent="0.35">
      <c r="A7">
        <v>6</v>
      </c>
      <c r="B7">
        <f>Portfolio!B7</f>
        <v>5006.1684275049565</v>
      </c>
      <c r="C7">
        <f t="shared" si="1"/>
        <v>0.98532927816429294</v>
      </c>
      <c r="D7">
        <f t="shared" si="2"/>
        <v>0.97590007294853265</v>
      </c>
      <c r="E7">
        <f t="shared" si="0"/>
        <v>0.96225044864937637</v>
      </c>
      <c r="F7">
        <f t="shared" si="5"/>
        <v>4932.7243230423319</v>
      </c>
      <c r="G7">
        <f t="shared" si="3"/>
        <v>4885.5201335947277</v>
      </c>
      <c r="H7">
        <f t="shared" si="4"/>
        <v>4817.1878153809876</v>
      </c>
    </row>
    <row r="8" spans="1:8" x14ac:dyDescent="0.35">
      <c r="A8">
        <v>7</v>
      </c>
      <c r="B8">
        <f>Portfolio!B8</f>
        <v>5006.1684275049565</v>
      </c>
      <c r="C8">
        <f t="shared" si="1"/>
        <v>0.98290516885729906</v>
      </c>
      <c r="D8">
        <f t="shared" si="2"/>
        <v>0.97194026798644362</v>
      </c>
      <c r="E8">
        <f t="shared" si="0"/>
        <v>0.95609887966944251</v>
      </c>
      <c r="F8">
        <f t="shared" si="5"/>
        <v>4920.588823564839</v>
      </c>
      <c r="G8">
        <f t="shared" si="3"/>
        <v>4865.6966830144402</v>
      </c>
      <c r="H8">
        <f t="shared" si="4"/>
        <v>4786.392024974024</v>
      </c>
    </row>
    <row r="9" spans="1:8" x14ac:dyDescent="0.35">
      <c r="A9">
        <v>8</v>
      </c>
      <c r="B9">
        <f>Portfolio!B9</f>
        <v>5006.1684275049565</v>
      </c>
      <c r="C9">
        <f t="shared" si="1"/>
        <v>0.98048702334947646</v>
      </c>
      <c r="D9">
        <f t="shared" si="2"/>
        <v>0.96799653029985977</v>
      </c>
      <c r="E9">
        <f t="shared" si="0"/>
        <v>0.94998663704260955</v>
      </c>
      <c r="F9">
        <f t="shared" si="5"/>
        <v>4908.4831798704645</v>
      </c>
      <c r="G9">
        <f t="shared" si="3"/>
        <v>4845.9536679215034</v>
      </c>
      <c r="H9">
        <f t="shared" si="4"/>
        <v>4755.7931089143221</v>
      </c>
    </row>
    <row r="10" spans="1:8" x14ac:dyDescent="0.35">
      <c r="A10">
        <v>9</v>
      </c>
      <c r="B10">
        <f>Portfolio!B10</f>
        <v>5006.1684275049565</v>
      </c>
      <c r="C10">
        <f t="shared" si="1"/>
        <v>0.97807482696867232</v>
      </c>
      <c r="D10">
        <f t="shared" si="2"/>
        <v>0.96406879469432227</v>
      </c>
      <c r="E10">
        <f t="shared" si="0"/>
        <v>0.94391346935951248</v>
      </c>
      <c r="F10">
        <f t="shared" si="5"/>
        <v>4896.4073185079405</v>
      </c>
      <c r="G10">
        <f t="shared" si="3"/>
        <v>4826.2907619414746</v>
      </c>
      <c r="H10">
        <f t="shared" si="4"/>
        <v>4725.3898086042582</v>
      </c>
    </row>
    <row r="11" spans="1:8" x14ac:dyDescent="0.35">
      <c r="A11">
        <v>10</v>
      </c>
      <c r="B11">
        <f>Portfolio!B11</f>
        <v>5006.1684275049565</v>
      </c>
      <c r="C11">
        <f t="shared" si="1"/>
        <v>0.97566856507883171</v>
      </c>
      <c r="D11">
        <f t="shared" si="2"/>
        <v>0.96015699623990491</v>
      </c>
      <c r="E11">
        <f t="shared" si="0"/>
        <v>0.93787912681802166</v>
      </c>
      <c r="F11">
        <f t="shared" si="5"/>
        <v>4884.3611662067124</v>
      </c>
      <c r="G11">
        <f t="shared" si="3"/>
        <v>4806.7076400242076</v>
      </c>
      <c r="H11">
        <f t="shared" si="4"/>
        <v>4695.180873492297</v>
      </c>
    </row>
    <row r="12" spans="1:8" x14ac:dyDescent="0.35">
      <c r="A12">
        <v>11</v>
      </c>
      <c r="B12">
        <f>Portfolio!B12</f>
        <v>5006.1684275049565</v>
      </c>
      <c r="C12">
        <f t="shared" si="1"/>
        <v>0.9732682230799059</v>
      </c>
      <c r="D12">
        <f t="shared" si="2"/>
        <v>0.95626107027014029</v>
      </c>
      <c r="E12">
        <f t="shared" si="0"/>
        <v>0.93188336121296622</v>
      </c>
      <c r="F12">
        <f t="shared" si="5"/>
        <v>4872.3446498764761</v>
      </c>
      <c r="G12">
        <f t="shared" si="3"/>
        <v>4787.2039784384751</v>
      </c>
      <c r="H12">
        <f t="shared" si="4"/>
        <v>4665.1650610215484</v>
      </c>
    </row>
    <row r="13" spans="1:8" x14ac:dyDescent="0.35">
      <c r="A13">
        <v>12</v>
      </c>
      <c r="B13">
        <f>Portfolio!B13</f>
        <v>5006.1684275049565</v>
      </c>
      <c r="C13">
        <f t="shared" si="1"/>
        <v>0.97087378640776656</v>
      </c>
      <c r="D13">
        <f t="shared" si="2"/>
        <v>0.95238095238095133</v>
      </c>
      <c r="E13">
        <f t="shared" si="0"/>
        <v>0.92592592592592604</v>
      </c>
      <c r="F13">
        <f t="shared" si="5"/>
        <v>4860.3576966067521</v>
      </c>
      <c r="G13">
        <f t="shared" si="3"/>
        <v>4767.7794547666199</v>
      </c>
      <c r="H13">
        <f t="shared" si="4"/>
        <v>4635.3411365786642</v>
      </c>
    </row>
    <row r="14" spans="1:8" x14ac:dyDescent="0.35">
      <c r="A14">
        <v>13</v>
      </c>
      <c r="B14">
        <f>Portfolio!B14</f>
        <v>5006.1684275049565</v>
      </c>
      <c r="C14">
        <f t="shared" si="1"/>
        <v>0.968485240534115</v>
      </c>
      <c r="D14">
        <f t="shared" si="2"/>
        <v>0.94851657842958659</v>
      </c>
      <c r="E14">
        <f t="shared" si="0"/>
        <v>0.92000657591508705</v>
      </c>
      <c r="F14">
        <f t="shared" si="5"/>
        <v>4848.4002336664298</v>
      </c>
      <c r="G14">
        <f t="shared" si="3"/>
        <v>4748.4337478992256</v>
      </c>
      <c r="H14">
        <f t="shared" si="4"/>
        <v>4605.7078734430506</v>
      </c>
    </row>
    <row r="15" spans="1:8" x14ac:dyDescent="0.35">
      <c r="A15">
        <v>14</v>
      </c>
      <c r="B15">
        <f>Portfolio!B15</f>
        <v>5006.1684275049565</v>
      </c>
      <c r="C15">
        <f t="shared" si="1"/>
        <v>0.96610257096639585</v>
      </c>
      <c r="D15">
        <f t="shared" si="2"/>
        <v>0.94466788453355954</v>
      </c>
      <c r="E15">
        <f t="shared" si="0"/>
        <v>0.91412506770516322</v>
      </c>
      <c r="F15">
        <f t="shared" si="5"/>
        <v>4836.4721885033377</v>
      </c>
      <c r="G15">
        <f t="shared" si="3"/>
        <v>4729.1665380298036</v>
      </c>
      <c r="H15">
        <f t="shared" si="4"/>
        <v>4576.2640527364192</v>
      </c>
    </row>
    <row r="16" spans="1:8" x14ac:dyDescent="0.35">
      <c r="A16">
        <v>15</v>
      </c>
      <c r="B16">
        <f>Portfolio!B16</f>
        <v>5006.1684275049565</v>
      </c>
      <c r="C16">
        <f t="shared" si="1"/>
        <v>0.96372576324770776</v>
      </c>
      <c r="D16">
        <f t="shared" si="2"/>
        <v>0.9408348070695931</v>
      </c>
      <c r="E16">
        <f t="shared" si="0"/>
        <v>0.9082811593773803</v>
      </c>
      <c r="F16">
        <f t="shared" si="5"/>
        <v>4824.5734887437911</v>
      </c>
      <c r="G16">
        <f t="shared" si="3"/>
        <v>4709.977506649514</v>
      </c>
      <c r="H16">
        <f t="shared" si="4"/>
        <v>4547.0084633726383</v>
      </c>
    </row>
    <row r="17" spans="1:8" x14ac:dyDescent="0.35">
      <c r="A17">
        <v>16</v>
      </c>
      <c r="B17">
        <f>Portfolio!B17</f>
        <v>5006.1684275049565</v>
      </c>
      <c r="C17">
        <f t="shared" si="1"/>
        <v>0.96135480295671683</v>
      </c>
      <c r="D17">
        <f t="shared" si="2"/>
        <v>0.93701728267256712</v>
      </c>
      <c r="E17">
        <f t="shared" si="0"/>
        <v>0.90247461055952671</v>
      </c>
      <c r="F17">
        <f t="shared" si="5"/>
        <v>4812.7040621921642</v>
      </c>
      <c r="G17">
        <f t="shared" si="3"/>
        <v>4690.8663365418925</v>
      </c>
      <c r="H17">
        <f t="shared" si="4"/>
        <v>4517.9399020079336</v>
      </c>
    </row>
    <row r="18" spans="1:8" x14ac:dyDescent="0.35">
      <c r="A18">
        <v>17</v>
      </c>
      <c r="B18">
        <f>Portfolio!B18</f>
        <v>5006.1684275049565</v>
      </c>
      <c r="C18">
        <f t="shared" si="1"/>
        <v>0.95898967570756799</v>
      </c>
      <c r="D18">
        <f t="shared" si="2"/>
        <v>0.93321524823447188</v>
      </c>
      <c r="E18">
        <f t="shared" si="0"/>
        <v>0.89670518241606567</v>
      </c>
      <c r="F18">
        <f t="shared" si="5"/>
        <v>4800.8638368304437</v>
      </c>
      <c r="G18">
        <f t="shared" si="3"/>
        <v>4671.8327117776134</v>
      </c>
      <c r="H18">
        <f t="shared" si="4"/>
        <v>4489.0571729913809</v>
      </c>
    </row>
    <row r="19" spans="1:8" x14ac:dyDescent="0.35">
      <c r="A19">
        <v>18</v>
      </c>
      <c r="B19">
        <f>Portfolio!B19</f>
        <v>5006.1684275049565</v>
      </c>
      <c r="C19">
        <f t="shared" si="1"/>
        <v>0.95663036714979865</v>
      </c>
      <c r="D19">
        <f t="shared" si="2"/>
        <v>0.92942864090336341</v>
      </c>
      <c r="E19">
        <f t="shared" si="0"/>
        <v>0.89097263763831147</v>
      </c>
      <c r="F19">
        <f t="shared" si="5"/>
        <v>4789.0527408177968</v>
      </c>
      <c r="G19">
        <f t="shared" si="3"/>
        <v>4652.8763177092596</v>
      </c>
      <c r="H19">
        <f t="shared" si="4"/>
        <v>4460.3590883157294</v>
      </c>
    </row>
    <row r="20" spans="1:8" x14ac:dyDescent="0.35">
      <c r="A20">
        <v>19</v>
      </c>
      <c r="B20">
        <f>Portfolio!B20</f>
        <v>5006.1684275049565</v>
      </c>
      <c r="C20">
        <f t="shared" si="1"/>
        <v>0.95427686296825132</v>
      </c>
      <c r="D20">
        <f t="shared" si="2"/>
        <v>0.92565739808232606</v>
      </c>
      <c r="E20">
        <f t="shared" si="0"/>
        <v>0.88527674043466908</v>
      </c>
      <c r="F20">
        <f t="shared" si="5"/>
        <v>4777.2707024901338</v>
      </c>
      <c r="G20">
        <f t="shared" si="3"/>
        <v>4633.9968409661278</v>
      </c>
      <c r="H20">
        <f t="shared" si="4"/>
        <v>4431.8444675685405</v>
      </c>
    </row>
    <row r="21" spans="1:8" x14ac:dyDescent="0.35">
      <c r="A21">
        <v>20</v>
      </c>
      <c r="B21">
        <f>Portfolio!B21</f>
        <v>5006.1684275049565</v>
      </c>
      <c r="C21">
        <f t="shared" si="1"/>
        <v>0.95192914888298652</v>
      </c>
      <c r="D21">
        <f t="shared" si="2"/>
        <v>0.92190145742843688</v>
      </c>
      <c r="E21">
        <f t="shared" si="0"/>
        <v>0.87961725652093492</v>
      </c>
      <c r="F21">
        <f t="shared" si="5"/>
        <v>4765.5176503596722</v>
      </c>
      <c r="G21">
        <f t="shared" si="3"/>
        <v>4615.1939694490457</v>
      </c>
      <c r="H21">
        <f t="shared" si="4"/>
        <v>4403.5121378836329</v>
      </c>
    </row>
    <row r="22" spans="1:8" x14ac:dyDescent="0.35">
      <c r="A22">
        <v>21</v>
      </c>
      <c r="B22">
        <f>Portfolio!B22</f>
        <v>5006.1684275049565</v>
      </c>
      <c r="C22">
        <f t="shared" si="1"/>
        <v>0.94958721064919627</v>
      </c>
      <c r="D22">
        <f t="shared" si="2"/>
        <v>0.91816075685173459</v>
      </c>
      <c r="E22">
        <f t="shared" si="0"/>
        <v>0.87399395311065986</v>
      </c>
      <c r="F22">
        <f t="shared" si="5"/>
        <v>4753.793513114505</v>
      </c>
      <c r="G22">
        <f t="shared" si="3"/>
        <v>4596.4673923252085</v>
      </c>
      <c r="H22">
        <f t="shared" si="4"/>
        <v>4375.3609338928327</v>
      </c>
    </row>
    <row r="23" spans="1:8" x14ac:dyDescent="0.35">
      <c r="A23">
        <v>22</v>
      </c>
      <c r="B23">
        <f>Portfolio!B23</f>
        <v>5006.1684275049565</v>
      </c>
      <c r="C23">
        <f t="shared" si="1"/>
        <v>0.94725103405711775</v>
      </c>
      <c r="D23">
        <f t="shared" si="2"/>
        <v>0.91443523451419417</v>
      </c>
      <c r="E23">
        <f t="shared" si="0"/>
        <v>0.86840659890557592</v>
      </c>
      <c r="F23">
        <f t="shared" si="5"/>
        <v>4742.0982196181649</v>
      </c>
      <c r="G23">
        <f t="shared" si="3"/>
        <v>4577.8168000230498</v>
      </c>
      <c r="H23">
        <f t="shared" si="4"/>
        <v>4347.3896976780543</v>
      </c>
    </row>
    <row r="24" spans="1:8" x14ac:dyDescent="0.35">
      <c r="A24">
        <v>23</v>
      </c>
      <c r="B24">
        <f>Portfolio!B24</f>
        <v>5006.1684275049565</v>
      </c>
      <c r="C24">
        <f t="shared" si="1"/>
        <v>0.94492060493194718</v>
      </c>
      <c r="D24">
        <f t="shared" si="2"/>
        <v>0.9107248288287042</v>
      </c>
      <c r="E24">
        <f t="shared" si="0"/>
        <v>0.86285496408607987</v>
      </c>
      <c r="F24">
        <f t="shared" si="5"/>
        <v>4730.4316989091985</v>
      </c>
      <c r="G24">
        <f t="shared" si="3"/>
        <v>4559.2418842271145</v>
      </c>
      <c r="H24">
        <f t="shared" si="4"/>
        <v>4319.597278723656</v>
      </c>
    </row>
    <row r="25" spans="1:8" x14ac:dyDescent="0.35">
      <c r="A25">
        <v>24</v>
      </c>
      <c r="B25">
        <f>Portfolio!B25</f>
        <v>5006.1684275049565</v>
      </c>
      <c r="C25">
        <f t="shared" si="1"/>
        <v>0.9425959091337538</v>
      </c>
      <c r="D25">
        <f t="shared" si="2"/>
        <v>0.90702947845804782</v>
      </c>
      <c r="E25">
        <f t="shared" si="0"/>
        <v>0.85733882030178354</v>
      </c>
      <c r="F25">
        <f t="shared" si="5"/>
        <v>4718.7938802007293</v>
      </c>
      <c r="G25">
        <f t="shared" si="3"/>
        <v>4540.7423378729663</v>
      </c>
      <c r="H25">
        <f t="shared" si="4"/>
        <v>4291.9825338691344</v>
      </c>
    </row>
    <row r="26" spans="1:8" x14ac:dyDescent="0.35">
      <c r="A26">
        <v>25</v>
      </c>
      <c r="B26">
        <f>Portfolio!B26</f>
        <v>5006.1684275049565</v>
      </c>
      <c r="C26">
        <f t="shared" si="1"/>
        <v>0.94027693255739297</v>
      </c>
      <c r="D26">
        <f t="shared" si="2"/>
        <v>0.90334912231389097</v>
      </c>
      <c r="E26">
        <f t="shared" si="0"/>
        <v>0.85185794066211784</v>
      </c>
      <c r="F26">
        <f t="shared" si="5"/>
        <v>4707.1846928800278</v>
      </c>
      <c r="G26">
        <f t="shared" si="3"/>
        <v>4522.3178551421142</v>
      </c>
      <c r="H26">
        <f t="shared" si="4"/>
        <v>4264.5443272620851</v>
      </c>
    </row>
    <row r="27" spans="1:8" x14ac:dyDescent="0.35">
      <c r="A27">
        <v>26</v>
      </c>
      <c r="B27">
        <f>Portfolio!B27</f>
        <v>5006.1684275049565</v>
      </c>
      <c r="C27">
        <f t="shared" si="1"/>
        <v>0.93796366113242291</v>
      </c>
      <c r="D27">
        <f t="shared" si="2"/>
        <v>0.8996836995557701</v>
      </c>
      <c r="E27">
        <f t="shared" si="0"/>
        <v>0.84641209972700304</v>
      </c>
      <c r="F27">
        <f t="shared" si="5"/>
        <v>4695.6040665080936</v>
      </c>
      <c r="G27">
        <f t="shared" si="3"/>
        <v>4503.9681314569516</v>
      </c>
      <c r="H27">
        <f t="shared" si="4"/>
        <v>4237.2815303114994</v>
      </c>
    </row>
    <row r="28" spans="1:8" x14ac:dyDescent="0.35">
      <c r="A28">
        <v>27</v>
      </c>
      <c r="B28">
        <f>Portfolio!B28</f>
        <v>5006.1684275049565</v>
      </c>
      <c r="C28">
        <f t="shared" si="1"/>
        <v>0.93565608082301699</v>
      </c>
      <c r="D28">
        <f t="shared" si="2"/>
        <v>0.89603314959008773</v>
      </c>
      <c r="E28">
        <f t="shared" si="0"/>
        <v>0.84100107349757447</v>
      </c>
      <c r="F28">
        <f t="shared" si="5"/>
        <v>4684.0519308192133</v>
      </c>
      <c r="G28">
        <f t="shared" si="3"/>
        <v>4485.6928634757232</v>
      </c>
      <c r="H28">
        <f t="shared" si="4"/>
        <v>4210.193021641333</v>
      </c>
    </row>
    <row r="29" spans="1:8" x14ac:dyDescent="0.35">
      <c r="A29">
        <v>28</v>
      </c>
      <c r="B29">
        <f>Portfolio!B29</f>
        <v>5006.1684275049565</v>
      </c>
      <c r="C29">
        <f t="shared" si="1"/>
        <v>0.93335417762788009</v>
      </c>
      <c r="D29">
        <f t="shared" si="2"/>
        <v>0.89239741206911061</v>
      </c>
      <c r="E29">
        <f t="shared" si="0"/>
        <v>0.83562463940696941</v>
      </c>
      <c r="F29">
        <f t="shared" si="5"/>
        <v>4672.5282157205465</v>
      </c>
      <c r="G29">
        <f t="shared" si="3"/>
        <v>4467.4917490875123</v>
      </c>
      <c r="H29">
        <f t="shared" si="4"/>
        <v>4183.277687044384</v>
      </c>
    </row>
    <row r="30" spans="1:8" x14ac:dyDescent="0.35">
      <c r="A30">
        <v>29</v>
      </c>
      <c r="B30">
        <f>Portfolio!B30</f>
        <v>5006.1684275049565</v>
      </c>
      <c r="C30">
        <f t="shared" si="1"/>
        <v>0.93105793758016275</v>
      </c>
      <c r="D30">
        <f t="shared" si="2"/>
        <v>0.88877642688997216</v>
      </c>
      <c r="E30">
        <f t="shared" si="0"/>
        <v>0.83028257631117186</v>
      </c>
      <c r="F30">
        <f t="shared" si="5"/>
        <v>4661.0328512916913</v>
      </c>
      <c r="G30">
        <f t="shared" si="3"/>
        <v>4449.3644874072461</v>
      </c>
      <c r="H30">
        <f t="shared" si="4"/>
        <v>4156.5344194364634</v>
      </c>
    </row>
    <row r="31" spans="1:8" x14ac:dyDescent="0.35">
      <c r="A31">
        <v>30</v>
      </c>
      <c r="B31">
        <f>Portfolio!B31</f>
        <v>5006.1684275049565</v>
      </c>
      <c r="C31">
        <f t="shared" si="1"/>
        <v>0.92876734674737704</v>
      </c>
      <c r="D31">
        <f t="shared" si="2"/>
        <v>0.88517013419367852</v>
      </c>
      <c r="E31">
        <f t="shared" si="0"/>
        <v>0.82497466447991807</v>
      </c>
      <c r="F31">
        <f t="shared" si="5"/>
        <v>4649.5657677842673</v>
      </c>
      <c r="G31">
        <f t="shared" si="3"/>
        <v>4431.3107787707186</v>
      </c>
      <c r="H31">
        <f t="shared" si="4"/>
        <v>4129.9621188108604</v>
      </c>
    </row>
    <row r="32" spans="1:8" x14ac:dyDescent="0.35">
      <c r="A32">
        <v>31</v>
      </c>
      <c r="B32">
        <f>Portfolio!B32</f>
        <v>5006.1684275049565</v>
      </c>
      <c r="C32">
        <f t="shared" si="1"/>
        <v>0.92648239123131171</v>
      </c>
      <c r="D32">
        <f t="shared" si="2"/>
        <v>0.88157847436411918</v>
      </c>
      <c r="E32">
        <f t="shared" si="0"/>
        <v>0.81970068558765674</v>
      </c>
      <c r="F32">
        <f t="shared" si="5"/>
        <v>4638.1268956214881</v>
      </c>
      <c r="G32">
        <f t="shared" si="3"/>
        <v>4413.3303247296408</v>
      </c>
      <c r="H32">
        <f t="shared" si="4"/>
        <v>4103.5596921930946</v>
      </c>
    </row>
    <row r="33" spans="1:8" x14ac:dyDescent="0.35">
      <c r="A33">
        <v>32</v>
      </c>
      <c r="B33">
        <f>Portfolio!B33</f>
        <v>5006.1684275049565</v>
      </c>
      <c r="C33">
        <f t="shared" si="1"/>
        <v>0.92420305716794793</v>
      </c>
      <c r="D33">
        <f t="shared" si="2"/>
        <v>0.87800138802708161</v>
      </c>
      <c r="E33">
        <f t="shared" si="0"/>
        <v>0.81446042270456942</v>
      </c>
      <c r="F33">
        <f t="shared" si="5"/>
        <v>4626.7161653977391</v>
      </c>
      <c r="G33">
        <f t="shared" si="3"/>
        <v>4395.4228280467041</v>
      </c>
      <c r="H33">
        <f t="shared" si="4"/>
        <v>4077.3260535959566</v>
      </c>
    </row>
    <row r="34" spans="1:8" x14ac:dyDescent="0.35">
      <c r="A34">
        <v>33</v>
      </c>
      <c r="B34">
        <f>Portfolio!B34</f>
        <v>5006.1684275049565</v>
      </c>
      <c r="C34">
        <f t="shared" ref="C34:C61" si="6">1/(1+r_low_m)^A34</f>
        <v>0.92192933072737482</v>
      </c>
      <c r="D34">
        <f t="shared" ref="D34:D61" si="7">1/(1+r_base_m)^A34</f>
        <v>0.87443881604926998</v>
      </c>
      <c r="E34">
        <f t="shared" ref="E34:E61" si="8">1/(1+r_high_m)^A34</f>
        <v>0.80925366028764834</v>
      </c>
      <c r="F34">
        <f t="shared" ref="F34:F61" si="9">B34*C34</f>
        <v>4615.3335078781593</v>
      </c>
      <c r="G34">
        <f t="shared" ref="G34:G61" si="10">B34*D34</f>
        <v>4377.58799269067</v>
      </c>
      <c r="H34">
        <f t="shared" ref="H34:H61" si="11">B34*E34</f>
        <v>4051.2601239748469</v>
      </c>
    </row>
    <row r="35" spans="1:8" x14ac:dyDescent="0.35">
      <c r="A35">
        <v>34</v>
      </c>
      <c r="B35">
        <f>Portfolio!B35</f>
        <v>5006.1684275049565</v>
      </c>
      <c r="C35">
        <f t="shared" si="6"/>
        <v>0.91966119811370639</v>
      </c>
      <c r="D35">
        <f t="shared" si="7"/>
        <v>0.87089069953732667</v>
      </c>
      <c r="E35">
        <f t="shared" si="8"/>
        <v>0.80408018417182958</v>
      </c>
      <c r="F35">
        <f t="shared" si="9"/>
        <v>4603.9788539982183</v>
      </c>
      <c r="G35">
        <f t="shared" si="10"/>
        <v>4359.8255238314705</v>
      </c>
      <c r="H35">
        <f t="shared" si="11"/>
        <v>4025.3608311833841</v>
      </c>
    </row>
    <row r="36" spans="1:8" x14ac:dyDescent="0.35">
      <c r="A36">
        <v>35</v>
      </c>
      <c r="B36">
        <f>Portfolio!B36</f>
        <v>5006.1684275049565</v>
      </c>
      <c r="C36">
        <f t="shared" si="6"/>
        <v>0.91739864556499717</v>
      </c>
      <c r="D36">
        <f t="shared" si="7"/>
        <v>0.86735697983685989</v>
      </c>
      <c r="E36">
        <f t="shared" si="8"/>
        <v>0.79893978156118528</v>
      </c>
      <c r="F36">
        <f t="shared" si="9"/>
        <v>4592.6521348632987</v>
      </c>
      <c r="G36">
        <f t="shared" si="10"/>
        <v>4342.1351278353413</v>
      </c>
      <c r="H36">
        <f t="shared" si="11"/>
        <v>3999.6271099293122</v>
      </c>
    </row>
    <row r="37" spans="1:8" x14ac:dyDescent="0.35">
      <c r="A37">
        <v>36</v>
      </c>
      <c r="B37">
        <f>Portfolio!B37</f>
        <v>5006.1684275049565</v>
      </c>
      <c r="C37">
        <f t="shared" si="6"/>
        <v>0.91514165935315883</v>
      </c>
      <c r="D37">
        <f t="shared" si="7"/>
        <v>0.86383759853147313</v>
      </c>
      <c r="E37">
        <f t="shared" si="8"/>
        <v>0.79383224102017003</v>
      </c>
      <c r="F37">
        <f t="shared" si="9"/>
        <v>4581.3532817482801</v>
      </c>
      <c r="G37">
        <f t="shared" si="10"/>
        <v>4324.5165122599628</v>
      </c>
      <c r="H37">
        <f t="shared" si="11"/>
        <v>3974.0579017306804</v>
      </c>
    </row>
    <row r="38" spans="1:8" x14ac:dyDescent="0.35">
      <c r="A38">
        <v>37</v>
      </c>
      <c r="B38">
        <f>Portfolio!B38</f>
        <v>5006.1684275049565</v>
      </c>
      <c r="C38">
        <f t="shared" si="6"/>
        <v>0.91289022578387657</v>
      </c>
      <c r="D38">
        <f t="shared" si="7"/>
        <v>0.86033249744180007</v>
      </c>
      <c r="E38">
        <f t="shared" si="8"/>
        <v>0.78875735246492407</v>
      </c>
      <c r="F38">
        <f t="shared" si="9"/>
        <v>4570.0822260971145</v>
      </c>
      <c r="G38">
        <f t="shared" si="10"/>
        <v>4306.9693858496285</v>
      </c>
      <c r="H38">
        <f t="shared" si="11"/>
        <v>3948.6521548723017</v>
      </c>
    </row>
    <row r="39" spans="1:8" x14ac:dyDescent="0.35">
      <c r="A39">
        <v>38</v>
      </c>
      <c r="B39">
        <f>Portfolio!B39</f>
        <v>5006.1684275049565</v>
      </c>
      <c r="C39">
        <f t="shared" si="6"/>
        <v>0.91064433119652688</v>
      </c>
      <c r="D39">
        <f t="shared" si="7"/>
        <v>0.856841618624542</v>
      </c>
      <c r="E39">
        <f t="shared" si="8"/>
        <v>0.78371490715463277</v>
      </c>
      <c r="F39">
        <f t="shared" si="9"/>
        <v>4558.8388995224195</v>
      </c>
      <c r="G39">
        <f t="shared" si="10"/>
        <v>4289.4934585304254</v>
      </c>
      <c r="H39">
        <f t="shared" si="11"/>
        <v>3923.408824362501</v>
      </c>
    </row>
    <row r="40" spans="1:8" x14ac:dyDescent="0.35">
      <c r="A40">
        <v>39</v>
      </c>
      <c r="B40">
        <f>Portfolio!B40</f>
        <v>5006.1684275049565</v>
      </c>
      <c r="C40">
        <f t="shared" si="6"/>
        <v>0.90840396196409401</v>
      </c>
      <c r="D40">
        <f t="shared" si="7"/>
        <v>0.85336490437151113</v>
      </c>
      <c r="E40">
        <f t="shared" si="8"/>
        <v>0.77870469768293937</v>
      </c>
      <c r="F40">
        <f t="shared" si="9"/>
        <v>4547.6232338050604</v>
      </c>
      <c r="G40">
        <f t="shared" si="10"/>
        <v>4272.0884414054453</v>
      </c>
      <c r="H40">
        <f t="shared" si="11"/>
        <v>3898.3268718901231</v>
      </c>
    </row>
    <row r="41" spans="1:8" x14ac:dyDescent="0.35">
      <c r="A41">
        <v>40</v>
      </c>
      <c r="B41">
        <f>Portfolio!B41</f>
        <v>5006.1684275049565</v>
      </c>
      <c r="C41">
        <f t="shared" si="6"/>
        <v>0.9061691044930873</v>
      </c>
      <c r="D41">
        <f t="shared" si="7"/>
        <v>0.84990229720867583</v>
      </c>
      <c r="E41">
        <f t="shared" si="8"/>
        <v>0.77372651796941616</v>
      </c>
      <c r="F41">
        <f t="shared" si="9"/>
        <v>4536.4351608937332</v>
      </c>
      <c r="G41">
        <f t="shared" si="10"/>
        <v>4254.7540467500066</v>
      </c>
      <c r="H41">
        <f t="shared" si="11"/>
        <v>3873.4052657818374</v>
      </c>
    </row>
    <row r="42" spans="1:8" x14ac:dyDescent="0.35">
      <c r="A42">
        <v>41</v>
      </c>
      <c r="B42">
        <f>Portfolio!B42</f>
        <v>5006.1684275049565</v>
      </c>
      <c r="C42">
        <f t="shared" si="6"/>
        <v>0.90393974522345855</v>
      </c>
      <c r="D42">
        <f t="shared" si="7"/>
        <v>0.84645373989521056</v>
      </c>
      <c r="E42">
        <f t="shared" si="8"/>
        <v>0.76878016325108522</v>
      </c>
      <c r="F42">
        <f t="shared" si="9"/>
        <v>4525.2746129045527</v>
      </c>
      <c r="G42">
        <f t="shared" si="10"/>
        <v>4237.4899880068961</v>
      </c>
      <c r="H42">
        <f t="shared" si="11"/>
        <v>3848.6429809596889</v>
      </c>
    </row>
    <row r="43" spans="1:8" x14ac:dyDescent="0.35">
      <c r="A43">
        <v>42</v>
      </c>
      <c r="B43">
        <f>Portfolio!B43</f>
        <v>5006.1684275049565</v>
      </c>
      <c r="C43">
        <f t="shared" si="6"/>
        <v>0.90171587062852121</v>
      </c>
      <c r="D43">
        <f t="shared" si="7"/>
        <v>0.84301917542254989</v>
      </c>
      <c r="E43">
        <f t="shared" si="8"/>
        <v>0.76386543007399843</v>
      </c>
      <c r="F43">
        <f t="shared" si="9"/>
        <v>4514.1415221206471</v>
      </c>
      <c r="G43">
        <f t="shared" si="10"/>
        <v>4220.295979781632</v>
      </c>
      <c r="H43">
        <f t="shared" si="11"/>
        <v>3824.0389988989459</v>
      </c>
    </row>
    <row r="44" spans="1:8" x14ac:dyDescent="0.35">
      <c r="A44">
        <v>43</v>
      </c>
      <c r="B44">
        <f>Portfolio!B44</f>
        <v>5006.1684275049565</v>
      </c>
      <c r="C44">
        <f t="shared" si="6"/>
        <v>0.89949746721486534</v>
      </c>
      <c r="D44">
        <f t="shared" si="7"/>
        <v>0.83959854701344583</v>
      </c>
      <c r="E44">
        <f t="shared" si="8"/>
        <v>0.75898211628486734</v>
      </c>
      <c r="F44">
        <f t="shared" si="9"/>
        <v>4503.035820991734</v>
      </c>
      <c r="G44">
        <f t="shared" si="10"/>
        <v>4203.171737837748</v>
      </c>
      <c r="H44">
        <f t="shared" si="11"/>
        <v>3799.5923075861983</v>
      </c>
    </row>
    <row r="45" spans="1:8" x14ac:dyDescent="0.35">
      <c r="A45">
        <v>44</v>
      </c>
      <c r="B45">
        <f>Portfolio!B45</f>
        <v>5006.1684275049565</v>
      </c>
      <c r="C45">
        <f t="shared" si="6"/>
        <v>0.89728452152227922</v>
      </c>
      <c r="D45">
        <f t="shared" si="7"/>
        <v>0.83619179812102928</v>
      </c>
      <c r="E45">
        <f t="shared" si="8"/>
        <v>0.75413002102274962</v>
      </c>
      <c r="F45">
        <f t="shared" si="9"/>
        <v>4491.9574421337256</v>
      </c>
      <c r="G45">
        <f t="shared" si="10"/>
        <v>4186.1169790920949</v>
      </c>
      <c r="H45">
        <f t="shared" si="11"/>
        <v>3775.3019014777383</v>
      </c>
    </row>
    <row r="46" spans="1:8" x14ac:dyDescent="0.35">
      <c r="A46">
        <v>45</v>
      </c>
      <c r="B46">
        <f>Portfolio!B46</f>
        <v>5006.1684275049565</v>
      </c>
      <c r="C46">
        <f t="shared" si="6"/>
        <v>0.89507702012366464</v>
      </c>
      <c r="D46">
        <f t="shared" si="7"/>
        <v>0.83279887242787531</v>
      </c>
      <c r="E46">
        <f t="shared" si="8"/>
        <v>0.74930894471078535</v>
      </c>
      <c r="F46">
        <f t="shared" si="9"/>
        <v>4480.9063183283088</v>
      </c>
      <c r="G46">
        <f t="shared" si="10"/>
        <v>4169.1314216101573</v>
      </c>
      <c r="H46">
        <f t="shared" si="11"/>
        <v>3751.1667814581906</v>
      </c>
    </row>
    <row r="47" spans="1:8" x14ac:dyDescent="0.35">
      <c r="A47">
        <v>46</v>
      </c>
      <c r="B47">
        <f>Portfolio!B47</f>
        <v>5006.1684275049565</v>
      </c>
      <c r="C47">
        <f t="shared" si="6"/>
        <v>0.8928749496249575</v>
      </c>
      <c r="D47">
        <f t="shared" si="7"/>
        <v>0.82941971384507229</v>
      </c>
      <c r="E47">
        <f t="shared" si="8"/>
        <v>0.74451868904799035</v>
      </c>
      <c r="F47">
        <f t="shared" si="9"/>
        <v>4469.8823825225409</v>
      </c>
      <c r="G47">
        <f t="shared" si="10"/>
        <v>4152.2147846013968</v>
      </c>
      <c r="H47">
        <f t="shared" si="11"/>
        <v>3727.1859547994295</v>
      </c>
    </row>
    <row r="48" spans="1:8" x14ac:dyDescent="0.35">
      <c r="A48">
        <v>47</v>
      </c>
      <c r="B48">
        <f>Portfolio!B48</f>
        <v>5006.1684275049565</v>
      </c>
      <c r="C48">
        <f t="shared" si="6"/>
        <v>0.89067829666504539</v>
      </c>
      <c r="D48">
        <f t="shared" si="7"/>
        <v>0.82605426651129432</v>
      </c>
      <c r="E48">
        <f t="shared" si="8"/>
        <v>0.73975905700109756</v>
      </c>
      <c r="F48">
        <f t="shared" si="9"/>
        <v>4458.8855678284435</v>
      </c>
      <c r="G48">
        <f t="shared" si="10"/>
        <v>4135.3667884146062</v>
      </c>
      <c r="H48">
        <f t="shared" si="11"/>
        <v>3703.3584351197342</v>
      </c>
    </row>
    <row r="49" spans="1:8" x14ac:dyDescent="0.35">
      <c r="A49">
        <v>48</v>
      </c>
      <c r="B49">
        <f>Portfolio!B49</f>
        <v>5006.1684275049565</v>
      </c>
      <c r="C49">
        <f t="shared" si="6"/>
        <v>0.88848704791568789</v>
      </c>
      <c r="D49">
        <f t="shared" si="7"/>
        <v>0.82270247479187819</v>
      </c>
      <c r="E49">
        <f t="shared" si="8"/>
        <v>0.73502985279645383</v>
      </c>
      <c r="F49">
        <f t="shared" si="9"/>
        <v>4447.9158075226005</v>
      </c>
      <c r="G49">
        <f t="shared" si="10"/>
        <v>4118.587154533293</v>
      </c>
      <c r="H49">
        <f t="shared" si="11"/>
        <v>3679.6832423432229</v>
      </c>
    </row>
    <row r="50" spans="1:8" x14ac:dyDescent="0.35">
      <c r="A50">
        <v>49</v>
      </c>
      <c r="B50">
        <f>Portfolio!B50</f>
        <v>5006.1684275049565</v>
      </c>
      <c r="C50">
        <f t="shared" si="6"/>
        <v>0.88630119008143327</v>
      </c>
      <c r="D50">
        <f t="shared" si="7"/>
        <v>0.81936428327790389</v>
      </c>
      <c r="E50">
        <f t="shared" si="8"/>
        <v>0.73033088191196693</v>
      </c>
      <c r="F50">
        <f t="shared" si="9"/>
        <v>4436.9730350457403</v>
      </c>
      <c r="G50">
        <f t="shared" si="10"/>
        <v>4101.8756055710701</v>
      </c>
      <c r="H50">
        <f t="shared" si="11"/>
        <v>3656.1594026595394</v>
      </c>
    </row>
    <row r="51" spans="1:8" x14ac:dyDescent="0.35">
      <c r="A51">
        <v>50</v>
      </c>
      <c r="B51">
        <f>Portfolio!B51</f>
        <v>5006.1684275049565</v>
      </c>
      <c r="C51">
        <f t="shared" si="6"/>
        <v>0.8841207098995405</v>
      </c>
      <c r="D51">
        <f t="shared" si="7"/>
        <v>0.81603963678527702</v>
      </c>
      <c r="E51">
        <f t="shared" si="8"/>
        <v>0.72566195106910436</v>
      </c>
      <c r="F51">
        <f t="shared" si="9"/>
        <v>4426.0571840023485</v>
      </c>
      <c r="G51">
        <f t="shared" si="10"/>
        <v>4085.231865267066</v>
      </c>
      <c r="H51">
        <f t="shared" si="11"/>
        <v>3632.7859484837968</v>
      </c>
    </row>
    <row r="52" spans="1:8" x14ac:dyDescent="0.35">
      <c r="A52">
        <v>51</v>
      </c>
      <c r="B52">
        <f>Portfolio!B52</f>
        <v>5006.1684275049565</v>
      </c>
      <c r="C52">
        <f t="shared" si="6"/>
        <v>0.88194559413989682</v>
      </c>
      <c r="D52">
        <f t="shared" si="7"/>
        <v>0.81272848035381917</v>
      </c>
      <c r="E52">
        <f t="shared" si="8"/>
        <v>0.7210228682249441</v>
      </c>
      <c r="F52">
        <f t="shared" si="9"/>
        <v>4415.1681881602517</v>
      </c>
      <c r="G52">
        <f t="shared" si="10"/>
        <v>4068.655658481372</v>
      </c>
      <c r="H52">
        <f t="shared" si="11"/>
        <v>3609.5619184167817</v>
      </c>
    </row>
    <row r="53" spans="1:8" x14ac:dyDescent="0.35">
      <c r="A53">
        <v>52</v>
      </c>
      <c r="B53">
        <f>Portfolio!B53</f>
        <v>5006.1684275049565</v>
      </c>
      <c r="C53">
        <f t="shared" si="6"/>
        <v>0.87977582960493872</v>
      </c>
      <c r="D53">
        <f t="shared" si="7"/>
        <v>0.80943075924635699</v>
      </c>
      <c r="E53">
        <f t="shared" si="8"/>
        <v>0.71641344256427442</v>
      </c>
      <c r="F53">
        <f t="shared" si="9"/>
        <v>4404.3059814502249</v>
      </c>
      <c r="G53">
        <f t="shared" si="10"/>
        <v>4052.1467111904781</v>
      </c>
      <c r="H53">
        <f t="shared" si="11"/>
        <v>3586.486357205406</v>
      </c>
    </row>
    <row r="54" spans="1:8" x14ac:dyDescent="0.35">
      <c r="A54">
        <v>53</v>
      </c>
      <c r="B54">
        <f>Portfolio!B54</f>
        <v>5006.1684275049565</v>
      </c>
      <c r="C54">
        <f t="shared" si="6"/>
        <v>0.87761140312957131</v>
      </c>
      <c r="D54">
        <f t="shared" si="7"/>
        <v>0.8061464189478188</v>
      </c>
      <c r="E54">
        <f t="shared" si="8"/>
        <v>0.71183348449174577</v>
      </c>
      <c r="F54">
        <f t="shared" si="9"/>
        <v>4393.4704979655844</v>
      </c>
      <c r="G54">
        <f t="shared" si="10"/>
        <v>4035.7047504827538</v>
      </c>
      <c r="H54">
        <f t="shared" si="11"/>
        <v>3563.5583157034166</v>
      </c>
    </row>
    <row r="55" spans="1:8" x14ac:dyDescent="0.35">
      <c r="A55">
        <v>54</v>
      </c>
      <c r="B55">
        <f>Portfolio!B55</f>
        <v>5006.1684275049565</v>
      </c>
      <c r="C55">
        <f t="shared" si="6"/>
        <v>0.87545230158108822</v>
      </c>
      <c r="D55">
        <f t="shared" si="7"/>
        <v>0.80287540516433242</v>
      </c>
      <c r="E55">
        <f t="shared" si="8"/>
        <v>0.70728280562407286</v>
      </c>
      <c r="F55">
        <f t="shared" si="9"/>
        <v>4382.6616719617914</v>
      </c>
      <c r="G55">
        <f t="shared" si="10"/>
        <v>4019.3295045539307</v>
      </c>
      <c r="H55">
        <f t="shared" si="11"/>
        <v>3540.7768508323588</v>
      </c>
    </row>
    <row r="56" spans="1:8" x14ac:dyDescent="0.35">
      <c r="A56">
        <v>55</v>
      </c>
      <c r="B56">
        <f>Portfolio!B56</f>
        <v>5006.1684275049565</v>
      </c>
      <c r="C56">
        <f t="shared" si="6"/>
        <v>0.87329851185909224</v>
      </c>
      <c r="D56">
        <f t="shared" si="7"/>
        <v>0.79961766382232857</v>
      </c>
      <c r="E56">
        <f t="shared" si="8"/>
        <v>0.7027612187822847</v>
      </c>
      <c r="F56">
        <f t="shared" si="9"/>
        <v>4371.8794378560506</v>
      </c>
      <c r="G56">
        <f t="shared" si="10"/>
        <v>4003.0207027026136</v>
      </c>
      <c r="H56">
        <f t="shared" si="11"/>
        <v>3518.1410255427768</v>
      </c>
    </row>
    <row r="57" spans="1:8" x14ac:dyDescent="0.35">
      <c r="A57">
        <v>56</v>
      </c>
      <c r="B57">
        <f>Portfolio!B57</f>
        <v>5006.1684275049565</v>
      </c>
      <c r="C57">
        <f t="shared" si="6"/>
        <v>0.87115002089541649</v>
      </c>
      <c r="D57">
        <f t="shared" si="7"/>
        <v>0.7963731410676459</v>
      </c>
      <c r="E57">
        <f t="shared" si="8"/>
        <v>0.69826853798402755</v>
      </c>
      <c r="F57">
        <f t="shared" si="9"/>
        <v>4361.1237302269174</v>
      </c>
      <c r="G57">
        <f t="shared" si="10"/>
        <v>3986.7780753257998</v>
      </c>
      <c r="H57">
        <f t="shared" si="11"/>
        <v>3495.6499087756843</v>
      </c>
    </row>
    <row r="58" spans="1:8" x14ac:dyDescent="0.35">
      <c r="A58">
        <v>57</v>
      </c>
      <c r="B58">
        <f>Portfolio!B58</f>
        <v>5006.1684275049565</v>
      </c>
      <c r="C58">
        <f t="shared" si="6"/>
        <v>0.86900681565404303</v>
      </c>
      <c r="D58">
        <f t="shared" si="7"/>
        <v>0.79314178326464213</v>
      </c>
      <c r="E58">
        <f t="shared" si="8"/>
        <v>0.69380457843591259</v>
      </c>
      <c r="F58">
        <f t="shared" si="9"/>
        <v>4350.3944838138905</v>
      </c>
      <c r="G58">
        <f t="shared" si="10"/>
        <v>3970.6013539144305</v>
      </c>
      <c r="H58">
        <f t="shared" si="11"/>
        <v>3473.3025754242517</v>
      </c>
    </row>
    <row r="59" spans="1:8" x14ac:dyDescent="0.35">
      <c r="A59">
        <v>58</v>
      </c>
      <c r="B59">
        <f>Portfolio!B59</f>
        <v>5006.1684275049565</v>
      </c>
      <c r="C59">
        <f t="shared" si="6"/>
        <v>0.86686888313102639</v>
      </c>
      <c r="D59">
        <f t="shared" si="7"/>
        <v>0.78992353699530604</v>
      </c>
      <c r="E59">
        <f t="shared" si="8"/>
        <v>0.68936915652591713</v>
      </c>
      <c r="F59">
        <f t="shared" si="9"/>
        <v>4339.6916335170281</v>
      </c>
      <c r="G59">
        <f t="shared" si="10"/>
        <v>3954.4902710489446</v>
      </c>
      <c r="H59">
        <f t="shared" si="11"/>
        <v>3451.098106295769</v>
      </c>
    </row>
    <row r="60" spans="1:8" x14ac:dyDescent="0.35">
      <c r="A60">
        <v>59</v>
      </c>
      <c r="B60">
        <f>Portfolio!B60</f>
        <v>5006.1684275049565</v>
      </c>
      <c r="C60">
        <f t="shared" si="6"/>
        <v>0.86473621035441295</v>
      </c>
      <c r="D60">
        <f t="shared" si="7"/>
        <v>0.78671834905837468</v>
      </c>
      <c r="E60">
        <f t="shared" si="8"/>
        <v>0.68496208981583118</v>
      </c>
      <c r="F60">
        <f t="shared" si="9"/>
        <v>4329.0151143965468</v>
      </c>
      <c r="G60">
        <f t="shared" si="10"/>
        <v>3938.4445603948589</v>
      </c>
      <c r="H60">
        <f t="shared" si="11"/>
        <v>3429.0355880738284</v>
      </c>
    </row>
    <row r="61" spans="1:8" x14ac:dyDescent="0.35">
      <c r="A61">
        <v>60</v>
      </c>
      <c r="B61">
        <f>Portfolio!B61</f>
        <v>5006.1684275049565</v>
      </c>
      <c r="C61">
        <f t="shared" si="6"/>
        <v>0.86260878438416266</v>
      </c>
      <c r="D61">
        <f t="shared" si="7"/>
        <v>0.78352616646845474</v>
      </c>
      <c r="E61">
        <f t="shared" si="8"/>
        <v>0.6805831970337537</v>
      </c>
      <c r="F61">
        <f t="shared" si="9"/>
        <v>4318.3648616724258</v>
      </c>
      <c r="G61">
        <f t="shared" si="10"/>
        <v>3922.463956698371</v>
      </c>
      <c r="H61">
        <f t="shared" si="11"/>
        <v>3407.1141132807629</v>
      </c>
    </row>
    <row r="62" spans="1:8" x14ac:dyDescent="0.35">
      <c r="F62" t="s">
        <v>30</v>
      </c>
      <c r="G62" t="s">
        <v>31</v>
      </c>
      <c r="H62" t="s">
        <v>32</v>
      </c>
    </row>
    <row r="63" spans="1:8" x14ac:dyDescent="0.35">
      <c r="A63" t="s">
        <v>33</v>
      </c>
      <c r="F63">
        <f>SUM(F2:F61)</f>
        <v>278884.15677660686</v>
      </c>
      <c r="G63">
        <f>SUM(G2:G61)</f>
        <v>265996.94274289429</v>
      </c>
      <c r="H63">
        <f>SUM(H2:H61)</f>
        <v>248530.74774052281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47B8-7C41-4C0E-9A1E-C776733D5606}">
  <dimension ref="A1:F11"/>
  <sheetViews>
    <sheetView tabSelected="1" workbookViewId="0">
      <selection activeCell="F13" sqref="F13"/>
    </sheetView>
  </sheetViews>
  <sheetFormatPr defaultRowHeight="14.5" x14ac:dyDescent="0.35"/>
  <cols>
    <col min="2" max="2" width="12.54296875" customWidth="1"/>
    <col min="3" max="4" width="14.08984375" customWidth="1"/>
    <col min="5" max="5" width="13.7265625" customWidth="1"/>
    <col min="6" max="6" width="1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x14ac:dyDescent="0.35">
      <c r="A2" t="s">
        <v>8</v>
      </c>
      <c r="B2">
        <v>25000</v>
      </c>
      <c r="C2">
        <v>0.08</v>
      </c>
      <c r="D2">
        <v>60</v>
      </c>
      <c r="E2">
        <v>0.04</v>
      </c>
      <c r="F2">
        <f>Inputs!$G2</f>
        <v>0.4</v>
      </c>
    </row>
    <row r="3" spans="1:6" x14ac:dyDescent="0.35">
      <c r="A3" t="s">
        <v>10</v>
      </c>
      <c r="B3">
        <v>15000</v>
      </c>
      <c r="C3">
        <v>6.5000000000000002E-2</v>
      </c>
      <c r="D3">
        <v>60</v>
      </c>
      <c r="E3">
        <v>0.03</v>
      </c>
      <c r="F3">
        <f>Inputs!$G3</f>
        <v>0.5</v>
      </c>
    </row>
    <row r="4" spans="1:6" x14ac:dyDescent="0.35">
      <c r="A4" t="s">
        <v>11</v>
      </c>
      <c r="B4">
        <v>30000</v>
      </c>
      <c r="C4">
        <v>7.1999999999999995E-2</v>
      </c>
      <c r="D4">
        <v>60</v>
      </c>
      <c r="E4">
        <v>0.05</v>
      </c>
      <c r="F4">
        <f>Inputs!$G4</f>
        <v>0.25</v>
      </c>
    </row>
    <row r="5" spans="1:6" x14ac:dyDescent="0.35">
      <c r="A5" t="s">
        <v>12</v>
      </c>
      <c r="B5">
        <v>12000</v>
      </c>
      <c r="C5">
        <v>5.5E-2</v>
      </c>
      <c r="D5">
        <v>60</v>
      </c>
      <c r="E5">
        <v>0.02</v>
      </c>
      <c r="F5">
        <f>Inputs!$G5</f>
        <v>0.6</v>
      </c>
    </row>
    <row r="6" spans="1:6" x14ac:dyDescent="0.35">
      <c r="A6" t="s">
        <v>13</v>
      </c>
      <c r="B6">
        <v>40000</v>
      </c>
      <c r="C6">
        <v>0.09</v>
      </c>
      <c r="D6">
        <v>60</v>
      </c>
      <c r="E6">
        <v>0.06</v>
      </c>
      <c r="F6">
        <f>Inputs!$G6</f>
        <v>0.5</v>
      </c>
    </row>
    <row r="7" spans="1:6" x14ac:dyDescent="0.35">
      <c r="A7" t="s">
        <v>14</v>
      </c>
      <c r="B7">
        <v>18000</v>
      </c>
      <c r="C7">
        <v>6.8000000000000005E-2</v>
      </c>
      <c r="D7">
        <v>60</v>
      </c>
      <c r="E7">
        <v>0.03</v>
      </c>
      <c r="F7">
        <f>Inputs!$G7</f>
        <v>0.45</v>
      </c>
    </row>
    <row r="8" spans="1:6" x14ac:dyDescent="0.35">
      <c r="A8" t="s">
        <v>15</v>
      </c>
      <c r="B8">
        <v>22000</v>
      </c>
      <c r="C8">
        <v>7.4999999999999997E-2</v>
      </c>
      <c r="D8">
        <v>60</v>
      </c>
      <c r="E8">
        <v>0.04</v>
      </c>
      <c r="F8">
        <f>Inputs!$G8</f>
        <v>0.3</v>
      </c>
    </row>
    <row r="9" spans="1:6" x14ac:dyDescent="0.35">
      <c r="A9" t="s">
        <v>16</v>
      </c>
      <c r="B9">
        <v>50000</v>
      </c>
      <c r="C9">
        <v>8.5000000000000006E-2</v>
      </c>
      <c r="D9">
        <v>60</v>
      </c>
      <c r="E9">
        <v>7.0000000000000007E-2</v>
      </c>
      <c r="F9">
        <f>Inputs!$G9</f>
        <v>0.2</v>
      </c>
    </row>
    <row r="10" spans="1:6" x14ac:dyDescent="0.35">
      <c r="A10" t="s">
        <v>17</v>
      </c>
      <c r="B10">
        <v>27000</v>
      </c>
      <c r="C10">
        <v>7.0000000000000007E-2</v>
      </c>
      <c r="D10">
        <v>60</v>
      </c>
      <c r="E10">
        <v>0.04</v>
      </c>
      <c r="F10">
        <f>Inputs!$G10</f>
        <v>0.35</v>
      </c>
    </row>
    <row r="11" spans="1:6" x14ac:dyDescent="0.35">
      <c r="A11" t="s">
        <v>18</v>
      </c>
      <c r="B11">
        <v>10000</v>
      </c>
      <c r="C11">
        <v>0.06</v>
      </c>
      <c r="D11">
        <v>60</v>
      </c>
      <c r="E11">
        <v>0.02</v>
      </c>
      <c r="F11">
        <f>Inputs!$G11</f>
        <v>0.4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Inputs</vt:lpstr>
      <vt:lpstr>Schedule</vt:lpstr>
      <vt:lpstr>Portfolio</vt:lpstr>
      <vt:lpstr>Valuation</vt:lpstr>
      <vt:lpstr>Summary</vt:lpstr>
      <vt:lpstr>r_base_m</vt:lpstr>
      <vt:lpstr>r_high_m</vt:lpstr>
      <vt:lpstr>r_low_m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tracy imbosa</cp:lastModifiedBy>
  <dcterms:created xsi:type="dcterms:W3CDTF">2025-08-24T16:40:55Z</dcterms:created>
  <dcterms:modified xsi:type="dcterms:W3CDTF">2025-08-25T13:03:43Z</dcterms:modified>
</cp:coreProperties>
</file>