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c1bc49234089a580/"/>
    </mc:Choice>
  </mc:AlternateContent>
  <xr:revisionPtr revIDLastSave="0" documentId="14_{CA00D747-1A28-4EE4-BFFD-E4E96ADA996A}" xr6:coauthVersionLast="47" xr6:coauthVersionMax="47" xr10:uidLastSave="{00000000-0000-0000-0000-000000000000}"/>
  <bookViews>
    <workbookView xWindow="-110" yWindow="-110" windowWidth="19420" windowHeight="11020" activeTab="2" xr2:uid="{41584510-9053-4B6F-8180-90544C20535B}"/>
  </bookViews>
  <sheets>
    <sheet name="Clean" sheetId="1" r:id="rId1"/>
    <sheet name="Charts representation" sheetId="2" r:id="rId2"/>
    <sheet name="2025 predictions" sheetId="3" r:id="rId3"/>
  </sheets>
  <externalReferences>
    <externalReference r:id="rId4"/>
    <externalReference r:id="rId5"/>
    <externalReference r:id="rId6"/>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B2" i="1"/>
  <c r="E11" i="1"/>
  <c r="E10" i="1"/>
  <c r="E9" i="1"/>
  <c r="I9" i="1" s="1"/>
  <c r="E4" i="1"/>
  <c r="E3" i="1"/>
  <c r="E2" i="1"/>
  <c r="I2" i="1" s="1"/>
  <c r="E6" i="1"/>
  <c r="E8" i="1"/>
  <c r="E7" i="1"/>
  <c r="E5" i="1"/>
  <c r="D10" i="1"/>
  <c r="D11" i="1" s="1"/>
  <c r="D9" i="1"/>
  <c r="D8" i="1"/>
  <c r="D7" i="1"/>
  <c r="D6" i="1"/>
  <c r="I6" i="1" s="1"/>
  <c r="D5" i="1"/>
  <c r="D4" i="1"/>
  <c r="G4" i="1" s="1"/>
  <c r="D3" i="1"/>
  <c r="I3" i="1" s="1"/>
  <c r="C10" i="1"/>
  <c r="C11" i="1" s="1"/>
  <c r="C9" i="1"/>
  <c r="C8" i="1"/>
  <c r="C7" i="1"/>
  <c r="C6" i="1"/>
  <c r="C5" i="1"/>
  <c r="C4" i="1"/>
  <c r="C3" i="1"/>
  <c r="F3" i="1" s="1"/>
  <c r="H3" i="1" s="1"/>
  <c r="C2" i="1"/>
  <c r="B11" i="1"/>
  <c r="B2" i="3" s="1"/>
  <c r="B10" i="1"/>
  <c r="B9" i="1"/>
  <c r="J9" i="1" s="1"/>
  <c r="B8" i="1"/>
  <c r="G8" i="1" s="1"/>
  <c r="B7" i="1"/>
  <c r="B5" i="1"/>
  <c r="B6" i="1"/>
  <c r="J6" i="1" s="1"/>
  <c r="B4" i="1"/>
  <c r="B3" i="1"/>
  <c r="G10" i="1" l="1"/>
  <c r="F7" i="1"/>
  <c r="G7" i="1"/>
  <c r="J5" i="1"/>
  <c r="F4" i="1"/>
  <c r="F11" i="1"/>
  <c r="C2" i="3"/>
  <c r="D2" i="3" s="1"/>
  <c r="I4" i="1"/>
  <c r="J7" i="1"/>
  <c r="I8" i="1"/>
  <c r="F6" i="1"/>
  <c r="H6" i="1" s="1"/>
  <c r="G6" i="1"/>
  <c r="J4" i="1"/>
  <c r="G3" i="1"/>
  <c r="G2" i="1"/>
  <c r="F2" i="1"/>
  <c r="H2" i="1" s="1"/>
  <c r="J3" i="1"/>
  <c r="I7" i="1"/>
  <c r="I5" i="1"/>
  <c r="I10" i="1"/>
  <c r="I11" i="1"/>
  <c r="H11" i="1"/>
  <c r="H7" i="1"/>
  <c r="H4" i="1"/>
  <c r="J11" i="1"/>
  <c r="F5" i="1"/>
  <c r="H5" i="1" s="1"/>
  <c r="G5" i="1"/>
  <c r="J10" i="1"/>
  <c r="J8" i="1"/>
  <c r="H20" i="1" s="1"/>
  <c r="F10" i="1"/>
  <c r="H10" i="1" s="1"/>
  <c r="F9" i="1"/>
  <c r="H9" i="1" s="1"/>
  <c r="G9" i="1"/>
  <c r="F8" i="1"/>
  <c r="H8" i="1" s="1"/>
  <c r="G11" i="1"/>
  <c r="E2" i="3" s="1"/>
  <c r="F2" i="3" s="1"/>
  <c r="G2" i="3" l="1"/>
</calcChain>
</file>

<file path=xl/sharedStrings.xml><?xml version="1.0" encoding="utf-8"?>
<sst xmlns="http://schemas.openxmlformats.org/spreadsheetml/2006/main" count="27" uniqueCount="26">
  <si>
    <t>Year</t>
  </si>
  <si>
    <t>GDP_USD</t>
  </si>
  <si>
    <t>Revenue_pct_GDP</t>
  </si>
  <si>
    <t>External_debt</t>
  </si>
  <si>
    <t>DebtService_USD</t>
  </si>
  <si>
    <t>Revenue_USD</t>
  </si>
  <si>
    <t>Debt_to_GDP_pct</t>
  </si>
  <si>
    <t>DebtService_to_revenue_pct</t>
  </si>
  <si>
    <t>Effective_interest_rate</t>
  </si>
  <si>
    <t>2024 Revenue_pct_GDP was missing. Since past values are irregular, we used 2023 value (or 3-year average) to estimate.</t>
  </si>
  <si>
    <t>ExternalDebt_USD for 2024 was estimated using linear trend of previous years.</t>
  </si>
  <si>
    <t>Derived ratios for 2024 calculated based on these estimates.</t>
  </si>
  <si>
    <t>NOTES</t>
  </si>
  <si>
    <t>Projected_GDP</t>
  </si>
  <si>
    <t>Projected_Revenue_pct_GDP</t>
  </si>
  <si>
    <t>Projected_revenue</t>
  </si>
  <si>
    <t>Projected_ExternalDebt</t>
  </si>
  <si>
    <t>Projected_Debt_to_GDP_pct</t>
  </si>
  <si>
    <t>g(GDP_change_rate)</t>
  </si>
  <si>
    <t>avg_g</t>
  </si>
  <si>
    <t>Projected_DebtService</t>
  </si>
  <si>
    <t>Notes</t>
  </si>
  <si>
    <t>These estimations for the year 2025 have been done having assumed that:</t>
  </si>
  <si>
    <t>GDP grows at the last observed rate.</t>
  </si>
  <si>
    <t>Debt to GDP ratio is roughly constant.</t>
  </si>
  <si>
    <t>The projected revenue %age has been the same in year 2023, 2024 and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</si>
</sst>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2">
    <border>
      <left/>
      <right/>
      <top/>
      <bottom/>
      <diagonal/>
    </border>
    <border>
      <left/>
      <right/>
      <top style="thin">
        <color theme="4"/>
      </top>
      <bottom style="thin">
        <color theme="4"/>
      </bottom>
      <diagonal/>
    </border>
  </borders>
  <cellStyleXfs count="1">
    <xf numFmtId="0" fontId="0" fillId="0" borderId="0"/>
  </cellStyleXfs>
  <cellXfs count="7">
    <xf numFmtId="0" fontId="0" fillId="0" borderId="0" xfId="0"/>
    <xf numFmtId="2" fontId="0" fillId="0" borderId="0" xfId="0" applyNumberFormat="1"/>
    <xf numFmtId="0" fontId="1" fillId="2" borderId="0" xfId="0" applyFont="1" applyFill="1"/>
    <xf numFmtId="0" fontId="1" fillId="3" borderId="0" xfId="0" applyFont="1" applyFill="1"/>
    <xf numFmtId="10" fontId="0" fillId="0" borderId="0" xfId="0" applyNumberFormat="1"/>
    <xf numFmtId="0" fontId="1" fillId="2" borderId="0" xfId="0" applyFont="1" applyFill="1" applyAlignment="1">
      <alignment horizontal="center"/>
    </xf>
    <xf numFmtId="2" fontId="0" fillId="0" borderId="1" xfId="0" applyNumberFormat="1" applyBorder="1"/>
  </cellXfs>
  <cellStyles count="1">
    <cellStyle name="Normal" xfId="0" builtinId="0"/>
  </cellStyles>
  <dxfs count="5">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2" formatCode="0.00"/>
      <border diagonalUp="0" diagonalDown="0">
        <left/>
        <right/>
        <top style="thin">
          <color theme="4"/>
        </top>
        <bottom style="thin">
          <color theme="4"/>
        </bottom>
        <vertical/>
        <horizontal/>
      </border>
    </dxf>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lotArea>
      <c:layout>
        <c:manualLayout>
          <c:layoutTarget val="inner"/>
          <c:xMode val="edge"/>
          <c:yMode val="edge"/>
          <c:x val="8.7184967713669181E-2"/>
          <c:y val="0.14143299251772634"/>
          <c:w val="0.88577395064306508"/>
          <c:h val="0.67109115838132172"/>
        </c:manualLayout>
      </c:layout>
      <c:lineChart>
        <c:grouping val="standard"/>
        <c:varyColors val="0"/>
        <c:ser>
          <c:idx val="6"/>
          <c:order val="0"/>
          <c:tx>
            <c:strRef>
              <c:f>Clean!$G$1</c:f>
              <c:strCache>
                <c:ptCount val="1"/>
                <c:pt idx="0">
                  <c:v>Debt_to_GDP_pct</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trendline>
            <c:spPr>
              <a:ln w="19050" cap="rnd">
                <a:solidFill>
                  <a:schemeClr val="accent1">
                    <a:lumMod val="60000"/>
                  </a:schemeClr>
                </a:solidFill>
              </a:ln>
              <a:effectLst/>
            </c:spPr>
            <c:trendlineType val="linear"/>
            <c:dispRSqr val="0"/>
            <c:dispEq val="0"/>
          </c:trendline>
          <c:cat>
            <c:numRef>
              <c:extLst>
                <c:ext xmlns:c15="http://schemas.microsoft.com/office/drawing/2012/chart" uri="{02D57815-91ED-43cb-92C2-25804820EDAC}">
                  <c15:fullRef>
                    <c15:sqref>Clean!$A$2:$A$11</c15:sqref>
                  </c15:fullRef>
                </c:ext>
              </c:extLst>
              <c:f>Clean!$A$3:$A$11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extLst>
                <c:ext xmlns:c15="http://schemas.microsoft.com/office/drawing/2012/chart" uri="{02D57815-91ED-43cb-92C2-25804820EDAC}">
                  <c15:fullRef>
                    <c15:sqref>Clean!$G$2:$G$11</c15:sqref>
                  </c15:fullRef>
                </c:ext>
              </c:extLst>
              <c:f>Clean!$G$3:$G$11</c:f>
              <c:numCache>
                <c:formatCode>General</c:formatCode>
                <c:ptCount val="9"/>
                <c:pt idx="0">
                  <c:v>28.146268083331115</c:v>
                </c:pt>
                <c:pt idx="1">
                  <c:v>32.85287149733081</c:v>
                </c:pt>
                <c:pt idx="2">
                  <c:v>34.091958872388062</c:v>
                </c:pt>
                <c:pt idx="3">
                  <c:v>34.838259003811771</c:v>
                </c:pt>
                <c:pt idx="4">
                  <c:v>37.78997978389112</c:v>
                </c:pt>
                <c:pt idx="5">
                  <c:v>37.57313149162767</c:v>
                </c:pt>
                <c:pt idx="6">
                  <c:v>36.309891368691403</c:v>
                </c:pt>
                <c:pt idx="7">
                  <c:v>39.717314399467817</c:v>
                </c:pt>
                <c:pt idx="8">
                  <c:v>35.553588446994972</c:v>
                </c:pt>
              </c:numCache>
            </c:numRef>
          </c:val>
          <c:smooth val="0"/>
          <c:extLst>
            <c:ext xmlns:c16="http://schemas.microsoft.com/office/drawing/2014/chart" uri="{C3380CC4-5D6E-409C-BE32-E72D297353CC}">
              <c16:uniqueId val="{00000006-0F54-4801-953C-31591103F732}"/>
            </c:ext>
          </c:extLst>
        </c:ser>
        <c:dLbls>
          <c:showLegendKey val="0"/>
          <c:showVal val="0"/>
          <c:showCatName val="0"/>
          <c:showSerName val="0"/>
          <c:showPercent val="0"/>
          <c:showBubbleSize val="0"/>
        </c:dLbls>
        <c:smooth val="0"/>
        <c:axId val="1276369840"/>
        <c:axId val="1276370800"/>
      </c:lineChart>
      <c:catAx>
        <c:axId val="12763698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276370800"/>
        <c:crosses val="autoZero"/>
        <c:auto val="1"/>
        <c:lblAlgn val="ctr"/>
        <c:lblOffset val="100"/>
        <c:noMultiLvlLbl val="0"/>
      </c:catAx>
      <c:valAx>
        <c:axId val="12763708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Debt to GDP pct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27636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GDP</a:t>
            </a:r>
            <a:r>
              <a:rPr lang="en-US" baseline="0"/>
              <a:t> VS External debt</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1"/>
          <c:order val="0"/>
          <c:tx>
            <c:strRef>
              <c:f>Clean!$B$1</c:f>
              <c:strCache>
                <c:ptCount val="1"/>
                <c:pt idx="0">
                  <c:v>GDP_USD</c:v>
                </c:pt>
              </c:strCache>
            </c:strRef>
          </c:tx>
          <c:spPr>
            <a:ln w="22225" cap="rnd">
              <a:solidFill>
                <a:schemeClr val="accent2"/>
              </a:solidFill>
              <a:round/>
            </a:ln>
            <a:effectLst/>
          </c:spPr>
          <c:marker>
            <c:symbol val="none"/>
          </c:marker>
          <c:cat>
            <c:numRef>
              <c:f>Clean!$A$2:$A$11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Clean!$B$2:$B$11</c:f>
              <c:numCache>
                <c:formatCode>General</c:formatCode>
                <c:ptCount val="10"/>
                <c:pt idx="0">
                  <c:v>70120446896.835907</c:v>
                </c:pt>
                <c:pt idx="1">
                  <c:v>74815144163.893082</c:v>
                </c:pt>
                <c:pt idx="2">
                  <c:v>82036510877.259888</c:v>
                </c:pt>
                <c:pt idx="3">
                  <c:v>92202979985.286301</c:v>
                </c:pt>
                <c:pt idx="4" formatCode="0.00">
                  <c:v>100378436207.37134</c:v>
                </c:pt>
                <c:pt idx="5" formatCode="0.00">
                  <c:v>100657505750.545</c:v>
                </c:pt>
                <c:pt idx="6" formatCode="0.00">
                  <c:v>109703658904.99373</c:v>
                </c:pt>
                <c:pt idx="7" formatCode="0.00">
                  <c:v>114448978152.63741</c:v>
                </c:pt>
                <c:pt idx="8" formatCode="0.00">
                  <c:v>108038588970.59505</c:v>
                </c:pt>
                <c:pt idx="9" formatCode="0.00">
                  <c:v>124498691699.125</c:v>
                </c:pt>
              </c:numCache>
            </c:numRef>
          </c:val>
          <c:smooth val="0"/>
          <c:extLst>
            <c:ext xmlns:c16="http://schemas.microsoft.com/office/drawing/2014/chart" uri="{C3380CC4-5D6E-409C-BE32-E72D297353CC}">
              <c16:uniqueId val="{00000003-FA28-40BD-9FA9-C8C5367BFF96}"/>
            </c:ext>
          </c:extLst>
        </c:ser>
        <c:ser>
          <c:idx val="3"/>
          <c:order val="1"/>
          <c:tx>
            <c:strRef>
              <c:f>Clean!$D$1</c:f>
              <c:strCache>
                <c:ptCount val="1"/>
                <c:pt idx="0">
                  <c:v>External_debt</c:v>
                </c:pt>
              </c:strCache>
            </c:strRef>
          </c:tx>
          <c:spPr>
            <a:ln w="22225" cap="rnd">
              <a:solidFill>
                <a:schemeClr val="accent4"/>
              </a:solidFill>
              <a:round/>
            </a:ln>
            <a:effectLst/>
          </c:spPr>
          <c:marker>
            <c:symbol val="none"/>
          </c:marker>
          <c:cat>
            <c:numRef>
              <c:f>Clean!$A$2:$A$11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Clean!$D$2:$D$11</c:f>
              <c:numCache>
                <c:formatCode>General</c:formatCode>
                <c:ptCount val="10"/>
                <c:pt idx="0">
                  <c:v>19783760501.700001</c:v>
                </c:pt>
                <c:pt idx="1">
                  <c:v>21057671043.299999</c:v>
                </c:pt>
                <c:pt idx="2">
                  <c:v>26951349499.400002</c:v>
                </c:pt>
                <c:pt idx="3">
                  <c:v>31433802015.700001</c:v>
                </c:pt>
                <c:pt idx="4">
                  <c:v>34970099589.900002</c:v>
                </c:pt>
                <c:pt idx="5">
                  <c:v>38038451074.099998</c:v>
                </c:pt>
                <c:pt idx="6">
                  <c:v>41219100011.5</c:v>
                </c:pt>
                <c:pt idx="7">
                  <c:v>41556299639.800003</c:v>
                </c:pt>
                <c:pt idx="8">
                  <c:v>42910026054.199997</c:v>
                </c:pt>
                <c:pt idx="9">
                  <c:v>44263752468.599991</c:v>
                </c:pt>
              </c:numCache>
            </c:numRef>
          </c:val>
          <c:smooth val="0"/>
          <c:extLst>
            <c:ext xmlns:c16="http://schemas.microsoft.com/office/drawing/2014/chart" uri="{C3380CC4-5D6E-409C-BE32-E72D297353CC}">
              <c16:uniqueId val="{00000005-FA28-40BD-9FA9-C8C5367BFF96}"/>
            </c:ext>
          </c:extLst>
        </c:ser>
        <c:dLbls>
          <c:showLegendKey val="0"/>
          <c:showVal val="0"/>
          <c:showCatName val="0"/>
          <c:showSerName val="0"/>
          <c:showPercent val="0"/>
          <c:showBubbleSize val="0"/>
        </c:dLbls>
        <c:smooth val="0"/>
        <c:axId val="1001003584"/>
        <c:axId val="1001003104"/>
      </c:lineChart>
      <c:catAx>
        <c:axId val="100100358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KE"/>
          </a:p>
        </c:txPr>
        <c:crossAx val="1001003104"/>
        <c:crosses val="autoZero"/>
        <c:auto val="1"/>
        <c:lblAlgn val="ctr"/>
        <c:lblOffset val="100"/>
        <c:noMultiLvlLbl val="0"/>
      </c:catAx>
      <c:valAx>
        <c:axId val="100100310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Currency</a:t>
                </a:r>
                <a:r>
                  <a:rPr lang="en-US" baseline="0"/>
                  <a:t> USD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crossAx val="100100358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Debt Service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1"/>
          <c:order val="0"/>
          <c:tx>
            <c:strRef>
              <c:f>Clean!$E$1</c:f>
              <c:strCache>
                <c:ptCount val="1"/>
                <c:pt idx="0">
                  <c:v>DebtService_USD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xmlns:c15="http://schemas.microsoft.com/office/drawing/2012/chart" uri="{02D57815-91ED-43cb-92C2-25804820EDAC}">
                  <c15:fullRef>
                    <c15:sqref>Clean!$A$2:$A$11</c15:sqref>
                  </c15:fullRef>
                </c:ext>
              </c:extLst>
              <c:f>Clean!$A$2:$A$11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c:ext xmlns:c15="http://schemas.microsoft.com/office/drawing/2012/chart" uri="{02D57815-91ED-43cb-92C2-25804820EDAC}">
                  <c15:fullRef>
                    <c15:sqref>Clean!$E$2:$E$17</c15:sqref>
                  </c15:fullRef>
                </c:ext>
              </c:extLst>
              <c:f>Clean!$E$2:$E$11</c:f>
              <c:numCache>
                <c:formatCode>General</c:formatCode>
                <c:ptCount val="10"/>
                <c:pt idx="0">
                  <c:v>890346905.89999998</c:v>
                </c:pt>
                <c:pt idx="1">
                  <c:v>1118739384.8</c:v>
                </c:pt>
                <c:pt idx="2">
                  <c:v>1546242076.9000001</c:v>
                </c:pt>
                <c:pt idx="3">
                  <c:v>2791207320.6999998</c:v>
                </c:pt>
                <c:pt idx="4">
                  <c:v>4491634975.5</c:v>
                </c:pt>
                <c:pt idx="5">
                  <c:v>2833175648.9000001</c:v>
                </c:pt>
                <c:pt idx="6">
                  <c:v>2445808263.6999998</c:v>
                </c:pt>
                <c:pt idx="7">
                  <c:v>3336847410.9000001</c:v>
                </c:pt>
                <c:pt idx="8">
                  <c:v>3872519305.3000002</c:v>
                </c:pt>
                <c:pt idx="9">
                  <c:v>5979599085.3000002</c:v>
                </c:pt>
              </c:numCache>
            </c:numRef>
          </c:val>
          <c:extLst>
            <c:ext xmlns:c16="http://schemas.microsoft.com/office/drawing/2014/chart" uri="{C3380CC4-5D6E-409C-BE32-E72D297353CC}">
              <c16:uniqueId val="{00000000-FF3E-4074-BC11-8CB8E9D49E4F}"/>
            </c:ext>
          </c:extLst>
        </c:ser>
        <c:dLbls>
          <c:showLegendKey val="0"/>
          <c:showVal val="0"/>
          <c:showCatName val="0"/>
          <c:showSerName val="0"/>
          <c:showPercent val="0"/>
          <c:showBubbleSize val="0"/>
        </c:dLbls>
        <c:gapWidth val="150"/>
        <c:axId val="1338730896"/>
        <c:axId val="1338731376"/>
      </c:barChart>
      <c:lineChart>
        <c:grouping val="standard"/>
        <c:varyColors val="0"/>
        <c:ser>
          <c:idx val="2"/>
          <c:order val="1"/>
          <c:tx>
            <c:strRef>
              <c:f>Clean!$F$1</c:f>
              <c:strCache>
                <c:ptCount val="1"/>
                <c:pt idx="0">
                  <c:v>Revenue_USD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10"/>
              <c:pt idx="0">
                <c:v>2015</c:v>
              </c:pt>
              <c:pt idx="1">
                <c:v>2016</c:v>
              </c:pt>
              <c:pt idx="2">
                <c:v>2017</c:v>
              </c:pt>
              <c:pt idx="3">
                <c:v>2018</c:v>
              </c:pt>
              <c:pt idx="4">
                <c:v>2019</c:v>
              </c:pt>
              <c:pt idx="5">
                <c:v>2020</c:v>
              </c:pt>
              <c:pt idx="6">
                <c:v>2021</c:v>
              </c:pt>
              <c:pt idx="7">
                <c:v>2022</c:v>
              </c:pt>
              <c:pt idx="8">
                <c:v>2023</c:v>
              </c:pt>
              <c:pt idx="9">
                <c:v>2024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Clean!$F$2:$F$17</c15:sqref>
                  </c15:fullRef>
                </c:ext>
              </c:extLst>
              <c:f>Clean!$F$2:$F$11</c:f>
              <c:numCache>
                <c:formatCode>General</c:formatCode>
                <c:ptCount val="10"/>
                <c:pt idx="0">
                  <c:v>13569388393.121452</c:v>
                </c:pt>
                <c:pt idx="1">
                  <c:v>14264087446.233866</c:v>
                </c:pt>
                <c:pt idx="2">
                  <c:v>17347335744.291084</c:v>
                </c:pt>
                <c:pt idx="3">
                  <c:v>17222533975.632004</c:v>
                </c:pt>
                <c:pt idx="4">
                  <c:v>19170078083.497871</c:v>
                </c:pt>
                <c:pt idx="5">
                  <c:v>17774920814.165665</c:v>
                </c:pt>
                <c:pt idx="6">
                  <c:v>19028361116.024666</c:v>
                </c:pt>
                <c:pt idx="7">
                  <c:v>20466463824.437092</c:v>
                </c:pt>
                <c:pt idx="8">
                  <c:v>20036906527.642143</c:v>
                </c:pt>
                <c:pt idx="9">
                  <c:v>23089607816.59277</c:v>
                </c:pt>
              </c:numCache>
            </c:numRef>
          </c:val>
          <c:smooth val="0"/>
          <c:extLst>
            <c:ext xmlns:c16="http://schemas.microsoft.com/office/drawing/2014/chart" uri="{C3380CC4-5D6E-409C-BE32-E72D297353CC}">
              <c16:uniqueId val="{00000001-FF3E-4074-BC11-8CB8E9D49E4F}"/>
            </c:ext>
          </c:extLst>
        </c:ser>
        <c:dLbls>
          <c:showLegendKey val="0"/>
          <c:showVal val="0"/>
          <c:showCatName val="0"/>
          <c:showSerName val="0"/>
          <c:showPercent val="0"/>
          <c:showBubbleSize val="0"/>
        </c:dLbls>
        <c:marker val="1"/>
        <c:smooth val="0"/>
        <c:axId val="1338730896"/>
        <c:axId val="1338731376"/>
      </c:lineChart>
      <c:catAx>
        <c:axId val="13387308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52873993617576898"/>
              <c:y val="0.79168593044476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8731376"/>
        <c:crosses val="autoZero"/>
        <c:auto val="1"/>
        <c:lblAlgn val="ctr"/>
        <c:lblOffset val="100"/>
        <c:noMultiLvlLbl val="0"/>
      </c:catAx>
      <c:valAx>
        <c:axId val="133873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Currency(USD)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873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1</xdr:row>
      <xdr:rowOff>44450</xdr:rowOff>
    </xdr:from>
    <xdr:to>
      <xdr:col>10</xdr:col>
      <xdr:colOff>238125</xdr:colOff>
      <xdr:row>18</xdr:row>
      <xdr:rowOff>104775</xdr:rowOff>
    </xdr:to>
    <xdr:graphicFrame macro="">
      <xdr:nvGraphicFramePr>
        <xdr:cNvPr id="3" name="Chart 2">
          <a:extLst>
            <a:ext uri="{FF2B5EF4-FFF2-40B4-BE49-F238E27FC236}">
              <a16:creationId xmlns:a16="http://schemas.microsoft.com/office/drawing/2014/main" id="{2E58876D-DAB0-B5FA-4958-7350322B3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120650</xdr:colOff>
      <xdr:row>23</xdr:row>
      <xdr:rowOff>139700</xdr:rowOff>
    </xdr:from>
    <xdr:to>
      <xdr:col>11</xdr:col>
      <xdr:colOff>282575</xdr:colOff>
      <xdr:row>41</xdr:row>
      <xdr:rowOff>85725</xdr:rowOff>
    </xdr:to>
    <xdr:graphicFrame macro="">
      <xdr:nvGraphicFramePr>
        <xdr:cNvPr id="5" name="Chart 4">
          <a:extLst>
            <a:ext uri="{FF2B5EF4-FFF2-40B4-BE49-F238E27FC236}">
              <a16:creationId xmlns:a16="http://schemas.microsoft.com/office/drawing/2014/main" id="{3469CA9A-1812-43D0-850C-043D7B543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114301</xdr:colOff>
      <xdr:row>41</xdr:row>
      <xdr:rowOff>152400</xdr:rowOff>
    </xdr:from>
    <xdr:ext cx="6718299" cy="609013"/>
    <xdr:sp macro="" textlink="">
      <xdr:nvSpPr>
        <xdr:cNvPr id="6" name="TextBox 5">
          <a:extLst>
            <a:ext uri="{FF2B5EF4-FFF2-40B4-BE49-F238E27FC236}">
              <a16:creationId xmlns:a16="http://schemas.microsoft.com/office/drawing/2014/main" id="{993F8F3A-D76A-107C-3891-CBBB6CDEC9A9}"/>
            </a:ext>
          </a:extLst>
        </xdr:cNvPr>
        <xdr:cNvSpPr txBox="1"/>
      </xdr:nvSpPr>
      <xdr:spPr>
        <a:xfrm>
          <a:off x="114301" y="7702550"/>
          <a:ext cx="6718299"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 table helps compare Kenya's annual GDP to its annual external debt per year. It clearly shows that</a:t>
          </a:r>
          <a:r>
            <a:rPr lang="en-US" sz="1100" baseline="0"/>
            <a:t> the GDP and external debt increases in an almost similar rate. The GDP since to have had a higher increase than usual since the 2019 pandemic and an unusual slight drop in 2023 due to estimation errors for the 2024 values.</a:t>
          </a:r>
          <a:endParaRPr lang="en-KE" sz="1100"/>
        </a:p>
      </xdr:txBody>
    </xdr:sp>
    <xdr:clientData/>
  </xdr:oneCellAnchor>
  <xdr:oneCellAnchor>
    <xdr:from>
      <xdr:col>1</xdr:col>
      <xdr:colOff>584200</xdr:colOff>
      <xdr:row>18</xdr:row>
      <xdr:rowOff>139700</xdr:rowOff>
    </xdr:from>
    <xdr:ext cx="4592750" cy="609013"/>
    <xdr:sp macro="" textlink="">
      <xdr:nvSpPr>
        <xdr:cNvPr id="7" name="TextBox 6">
          <a:extLst>
            <a:ext uri="{FF2B5EF4-FFF2-40B4-BE49-F238E27FC236}">
              <a16:creationId xmlns:a16="http://schemas.microsoft.com/office/drawing/2014/main" id="{B0C9A83D-654E-0BE7-8975-06EA24A81AA2}"/>
            </a:ext>
          </a:extLst>
        </xdr:cNvPr>
        <xdr:cNvSpPr txBox="1"/>
      </xdr:nvSpPr>
      <xdr:spPr>
        <a:xfrm>
          <a:off x="1193800" y="3454400"/>
          <a:ext cx="45927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a:t>
          </a:r>
          <a:r>
            <a:rPr lang="en-US" sz="1100" baseline="0"/>
            <a:t> table shows how Kenya's debt to its GDP has changed per year since 2015. The debt to GDP percentage increases overtime since both the GDP and the debt per year increases as well.</a:t>
          </a:r>
          <a:endParaRPr lang="en-KE" sz="1100"/>
        </a:p>
      </xdr:txBody>
    </xdr:sp>
    <xdr:clientData/>
  </xdr:oneCellAnchor>
  <xdr:twoCellAnchor>
    <xdr:from>
      <xdr:col>0</xdr:col>
      <xdr:colOff>266700</xdr:colOff>
      <xdr:row>46</xdr:row>
      <xdr:rowOff>38100</xdr:rowOff>
    </xdr:from>
    <xdr:to>
      <xdr:col>10</xdr:col>
      <xdr:colOff>158750</xdr:colOff>
      <xdr:row>62</xdr:row>
      <xdr:rowOff>9525</xdr:rowOff>
    </xdr:to>
    <xdr:graphicFrame macro="">
      <xdr:nvGraphicFramePr>
        <xdr:cNvPr id="10" name="Chart 7">
          <a:extLst>
            <a:ext uri="{FF2B5EF4-FFF2-40B4-BE49-F238E27FC236}">
              <a16:creationId xmlns:a16="http://schemas.microsoft.com/office/drawing/2014/main" id="{8DE40096-6475-BEED-3962-A03327F69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247650</xdr:colOff>
      <xdr:row>62</xdr:row>
      <xdr:rowOff>57150</xdr:rowOff>
    </xdr:from>
    <xdr:ext cx="6311974" cy="609013"/>
    <xdr:sp macro="" textlink="">
      <xdr:nvSpPr>
        <xdr:cNvPr id="11" name="TextBox 10">
          <a:extLst>
            <a:ext uri="{FF2B5EF4-FFF2-40B4-BE49-F238E27FC236}">
              <a16:creationId xmlns:a16="http://schemas.microsoft.com/office/drawing/2014/main" id="{40FA6A13-0E74-FBD4-829A-CCCF3C819C6A}"/>
            </a:ext>
          </a:extLst>
        </xdr:cNvPr>
        <xdr:cNvSpPr txBox="1"/>
      </xdr:nvSpPr>
      <xdr:spPr>
        <a:xfrm>
          <a:off x="247650" y="11474450"/>
          <a:ext cx="6311974"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 table compares debt service and</a:t>
          </a:r>
          <a:r>
            <a:rPr lang="en-US" sz="1100" baseline="0"/>
            <a:t> revenue in every year in order to show how much of the revenue goes to debt service every year. The debt service per year is a percentage of between 28% and 39% of the revenue, and hence the country can cover the debt service of every year.</a:t>
          </a:r>
          <a:endParaRPr lang="en-KE"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racy\Downloads\GDP(current%20US$).xlsx" TargetMode="External"/><Relationship Id="rId1" Type="http://schemas.openxmlformats.org/officeDocument/2006/relationships/externalLinkPath" Target="file:///C:\Users\tracy\Downloads\GDP(current%20U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racy\Downloads\revenue%20excluding%20grants(%25%20GDP).xlsx" TargetMode="External"/><Relationship Id="rId1" Type="http://schemas.openxmlformats.org/officeDocument/2006/relationships/externalLinkPath" Target="file:///C:\Users\tracy\Downloads\revenue%20excluding%20grants(%25%20GDP).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racy\Downloads\external%20debt%20stocks.xlsx" TargetMode="External"/><Relationship Id="rId1" Type="http://schemas.openxmlformats.org/officeDocument/2006/relationships/externalLinkPath" Target="file:///C:\Users\tracy\Downloads\external%20debt%20stock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tracy\Downloads\debt%20service%20for%20external%20debts.xlsx" TargetMode="External"/><Relationship Id="rId1" Type="http://schemas.openxmlformats.org/officeDocument/2006/relationships/externalLinkPath" Target="file:///C:\Users\tracy\Downloads\debt%20service%20for%20external%20deb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eries - Metadata"/>
    </sheetNames>
    <sheetDataSet>
      <sheetData sheetId="0">
        <row r="2">
          <cell r="E2">
            <v>70120446896.835907</v>
          </cell>
          <cell r="F2">
            <v>74815144163.893082</v>
          </cell>
          <cell r="G2">
            <v>82036510877.259888</v>
          </cell>
          <cell r="H2">
            <v>92202979985.286301</v>
          </cell>
          <cell r="I2">
            <v>100378436207.37134</v>
          </cell>
          <cell r="J2">
            <v>100657505750.545</v>
          </cell>
          <cell r="K2">
            <v>109703658904.99373</v>
          </cell>
          <cell r="L2">
            <v>114448978152.63741</v>
          </cell>
          <cell r="M2">
            <v>108038588970.59505</v>
          </cell>
          <cell r="N2">
            <v>124498691699.125</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eries - Metadata"/>
    </sheetNames>
    <sheetDataSet>
      <sheetData sheetId="0">
        <row r="2">
          <cell r="E2">
            <v>19.351542943080918</v>
          </cell>
          <cell r="F2">
            <v>19.065775526658584</v>
          </cell>
          <cell r="G2">
            <v>21.145872196156116</v>
          </cell>
          <cell r="H2">
            <v>18.678934214903215</v>
          </cell>
          <cell r="I2">
            <v>19.097805074283581</v>
          </cell>
          <cell r="J2">
            <v>17.658813102538481</v>
          </cell>
          <cell r="K2">
            <v>17.345238350257517</v>
          </cell>
          <cell r="L2">
            <v>17.882609486597197</v>
          </cell>
          <cell r="M2">
            <v>18.546064622424499</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eries - Metadata"/>
    </sheetNames>
    <sheetDataSet>
      <sheetData sheetId="0">
        <row r="2">
          <cell r="G2">
            <v>19783760501.700001</v>
          </cell>
          <cell r="H2">
            <v>21057671043.299999</v>
          </cell>
          <cell r="I2">
            <v>26951349499.400002</v>
          </cell>
          <cell r="J2">
            <v>31433802015.700001</v>
          </cell>
          <cell r="K2">
            <v>34970099589.900002</v>
          </cell>
          <cell r="L2">
            <v>38038451074.099998</v>
          </cell>
          <cell r="M2">
            <v>41219100011.5</v>
          </cell>
          <cell r="N2">
            <v>41556299639.800003</v>
          </cell>
          <cell r="O2">
            <v>42910026054.199997</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eries - Metadata"/>
    </sheetNames>
    <sheetDataSet>
      <sheetData sheetId="0">
        <row r="2">
          <cell r="G2">
            <v>890346905.89999998</v>
          </cell>
          <cell r="H2">
            <v>1118739384.8</v>
          </cell>
          <cell r="I2">
            <v>1546242076.9000001</v>
          </cell>
          <cell r="J2">
            <v>2791207320.6999998</v>
          </cell>
          <cell r="K2">
            <v>4491634975.5</v>
          </cell>
          <cell r="L2">
            <v>2833175648.9000001</v>
          </cell>
          <cell r="M2">
            <v>2445808263.6999998</v>
          </cell>
          <cell r="N2">
            <v>3336847410.9000001</v>
          </cell>
          <cell r="O2">
            <v>3872519305.3000002</v>
          </cell>
          <cell r="P2">
            <v>5979599085.3000002</v>
          </cell>
        </row>
      </sheetData>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E5B2B1-0240-4BDA-B76F-02BFE6E84126}" name="Table1" displayName="Table1" ref="A1:J11" totalsRowShown="0">
  <autoFilter ref="A1:J11" xr:uid="{DDE5B2B1-0240-4BDA-B76F-02BFE6E84126}"/>
  <tableColumns count="10">
    <tableColumn id="1" xr3:uid="{6554FEEA-BFBD-493F-9691-1932E0DA28AB}" name="Year"/>
    <tableColumn id="2" xr3:uid="{1DD34A62-B1DE-4544-9605-4870095C3A03}" name="GDP_USD" dataDxfId="4"/>
    <tableColumn id="3" xr3:uid="{8B419B43-A511-4D7B-B08F-C84171B06BDC}" name="Revenue_pct_GDP"/>
    <tableColumn id="4" xr3:uid="{0C5BB686-701A-4F10-8083-AB37D163EAEE}" name="External_debt"/>
    <tableColumn id="5" xr3:uid="{A4B8DC9D-E46A-4A1F-A5B1-15B831F456D0}" name="DebtService_USD"/>
    <tableColumn id="6" xr3:uid="{84F11D88-6410-4389-BB55-1CDF85214BD1}" name="Revenue_USD">
      <calculatedColumnFormula>C2/100*B2</calculatedColumnFormula>
    </tableColumn>
    <tableColumn id="7" xr3:uid="{7B721E79-7726-4B9A-82C2-E2CC68C69047}" name="Debt_to_GDP_pct">
      <calculatedColumnFormula>D2/B2*100</calculatedColumnFormula>
    </tableColumn>
    <tableColumn id="8" xr3:uid="{FCDE3CD4-FDBA-40FF-86EA-A449F1745215}" name="DebtService_to_revenue_pct">
      <calculatedColumnFormula>E2/F2*100</calculatedColumnFormula>
    </tableColumn>
    <tableColumn id="9" xr3:uid="{B07814F0-6DC0-4ECA-A0F4-31E4C439F51F}" name="Effective_interest_rate">
      <calculatedColumnFormula>E2/D2</calculatedColumnFormula>
    </tableColumn>
    <tableColumn id="10" xr3:uid="{8924244F-48B5-4FA7-A63B-FCEFE83E0875}" name="g(GDP_change_rate)" dataDxfId="3">
      <calculatedColumnFormula>(Table1[[#This Row],[GDP_USD]]-B1)/B1</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360740-6685-4279-90BC-6DD3B4BB3F2E}" name="Table2" displayName="Table2" ref="A1:G2" totalsRowShown="0">
  <autoFilter ref="A1:G2" xr:uid="{00360740-6685-4279-90BC-6DD3B4BB3F2E}"/>
  <tableColumns count="7">
    <tableColumn id="1" xr3:uid="{FBB5B6FB-9ECD-4DB8-8465-245D6DA8BC20}" name="Year"/>
    <tableColumn id="2" xr3:uid="{F530217B-AE2D-4CC6-B5E3-1875CB74E0CB}" name="Projected_GDP" dataDxfId="2">
      <calculatedColumnFormula>Clean!B11*(1+0.0676)</calculatedColumnFormula>
    </tableColumn>
    <tableColumn id="3" xr3:uid="{3B813A07-925E-4DE0-BBB6-B3DAA326C295}" name="Projected_Revenue_pct_GDP">
      <calculatedColumnFormula>Clean!C11</calculatedColumnFormula>
    </tableColumn>
    <tableColumn id="4" xr3:uid="{2C8EB9DE-5D1D-43DD-8272-8EAA615D8739}" name="Projected_revenue" dataDxfId="1">
      <calculatedColumnFormula>B2*C2/100</calculatedColumnFormula>
    </tableColumn>
    <tableColumn id="5" xr3:uid="{8889DEEB-0B0A-40BE-B582-E06F92CF2D58}" name="Projected_ExternalDebt" dataDxfId="0">
      <calculatedColumnFormula>Clean!G11/100*B2</calculatedColumnFormula>
    </tableColumn>
    <tableColumn id="6" xr3:uid="{B5EEF5B3-54CA-48BF-9B9D-3B6776542A4F}" name="Projected_Debt_to_GDP_pct">
      <calculatedColumnFormula>E2/B2*100</calculatedColumnFormula>
    </tableColumn>
    <tableColumn id="7" xr3:uid="{12597BFB-A0DA-46D7-B70A-D5F20938DCE4}" name="Projected_DebtService">
      <calculatedColumnFormula>Clean!I11*E2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DCFA-DD65-40E7-A5FC-A4C7FCBED1B8}">
  <dimension ref="A1:J20"/>
  <sheetViews>
    <sheetView workbookViewId="0">
      <selection activeCell="D3" sqref="D3"/>
    </sheetView>
  </sheetViews>
  <sheetFormatPr defaultRowHeight="14.5" x14ac:dyDescent="0.35"/>
  <cols>
    <col min="2" max="2" width="15.453125" bestFit="1" customWidth="1"/>
    <col min="3" max="3" width="17.6328125" customWidth="1"/>
    <col min="4" max="4" width="13.81640625" customWidth="1"/>
    <col min="5" max="5" width="17" customWidth="1"/>
    <col min="6" max="6" width="14.08984375" customWidth="1"/>
    <col min="7" max="7" width="17.08984375" customWidth="1"/>
    <col min="8" max="8" width="25.81640625" customWidth="1"/>
    <col min="9" max="9" width="21" customWidth="1"/>
    <col min="10" max="10" width="8.7265625" style="4"/>
  </cols>
  <sheetData>
    <row r="1" spans="1:10" x14ac:dyDescent="0.35">
      <c r="A1" t="s">
        <v>0</v>
      </c>
      <c r="B1" t="s">
        <v>1</v>
      </c>
      <c r="C1" t="s">
        <v>2</v>
      </c>
      <c r="D1" t="s">
        <v>3</v>
      </c>
      <c r="E1" t="s">
        <v>4</v>
      </c>
      <c r="F1" t="s">
        <v>5</v>
      </c>
      <c r="G1" t="s">
        <v>6</v>
      </c>
      <c r="H1" t="s">
        <v>7</v>
      </c>
      <c r="I1" t="s">
        <v>8</v>
      </c>
      <c r="J1" s="4" t="s">
        <v>18</v>
      </c>
    </row>
    <row r="2" spans="1:10" x14ac:dyDescent="0.35">
      <c r="A2">
        <v>2015</v>
      </c>
      <c r="B2">
        <f>[1]Data!$E$2</f>
        <v>70120446896.835907</v>
      </c>
      <c r="C2">
        <f>[2]Data!$E$2</f>
        <v>19.351542943080918</v>
      </c>
      <c r="D2">
        <f>[3]Data!$G$2</f>
        <v>19783760501.700001</v>
      </c>
      <c r="E2">
        <f>[4]Data!$G$2</f>
        <v>890346905.89999998</v>
      </c>
      <c r="F2">
        <f>C2/100*B2</f>
        <v>13569388393.121452</v>
      </c>
      <c r="G2">
        <f>D2/B2*100</f>
        <v>28.213968075255831</v>
      </c>
      <c r="H2">
        <f>E2/F2*100</f>
        <v>6.5614372594075903</v>
      </c>
      <c r="I2">
        <f>E2/D2</f>
        <v>4.5003926620699498E-2</v>
      </c>
    </row>
    <row r="3" spans="1:10" x14ac:dyDescent="0.35">
      <c r="A3">
        <v>2016</v>
      </c>
      <c r="B3">
        <f>[1]Data!$F$2</f>
        <v>74815144163.893082</v>
      </c>
      <c r="C3">
        <f>[2]Data!$F$2</f>
        <v>19.065775526658584</v>
      </c>
      <c r="D3">
        <f>[3]Data!$H$2</f>
        <v>21057671043.299999</v>
      </c>
      <c r="E3">
        <f>[4]Data!$H$2</f>
        <v>1118739384.8</v>
      </c>
      <c r="F3">
        <f t="shared" ref="F3:F10" si="0">C3/100*B3</f>
        <v>14264087446.233866</v>
      </c>
      <c r="G3">
        <f t="shared" ref="G3:G11" si="1">D3/B3*100</f>
        <v>28.146268083331115</v>
      </c>
      <c r="H3">
        <f t="shared" ref="H3:H11" si="2">E3/F3*100</f>
        <v>7.8430491191035125</v>
      </c>
      <c r="I3">
        <f t="shared" ref="I3:I11" si="3">E3/D3</f>
        <v>5.3127403429352821E-2</v>
      </c>
      <c r="J3" s="4">
        <f>(Table1[[#This Row],[GDP_USD]]-B2)/B2</f>
        <v>6.6951901689448826E-2</v>
      </c>
    </row>
    <row r="4" spans="1:10" x14ac:dyDescent="0.35">
      <c r="A4">
        <v>2017</v>
      </c>
      <c r="B4">
        <f>[1]Data!$G$2</f>
        <v>82036510877.259888</v>
      </c>
      <c r="C4">
        <f>[2]Data!$G$2</f>
        <v>21.145872196156116</v>
      </c>
      <c r="D4">
        <f>[3]Data!$I$2</f>
        <v>26951349499.400002</v>
      </c>
      <c r="E4">
        <f>[4]Data!$I$2</f>
        <v>1546242076.9000001</v>
      </c>
      <c r="F4">
        <f t="shared" si="0"/>
        <v>17347335744.291084</v>
      </c>
      <c r="G4">
        <f t="shared" si="1"/>
        <v>32.85287149733081</v>
      </c>
      <c r="H4">
        <f t="shared" si="2"/>
        <v>8.9134268206508889</v>
      </c>
      <c r="I4">
        <f t="shared" si="3"/>
        <v>5.7371601260056491E-2</v>
      </c>
      <c r="J4" s="4">
        <f>(Table1[[#This Row],[GDP_USD]]-B3)/B3</f>
        <v>9.6522793534252749E-2</v>
      </c>
    </row>
    <row r="5" spans="1:10" x14ac:dyDescent="0.35">
      <c r="A5">
        <v>2018</v>
      </c>
      <c r="B5">
        <f>[1]Data!$H$2</f>
        <v>92202979985.286301</v>
      </c>
      <c r="C5">
        <f>[2]Data!$H$2</f>
        <v>18.678934214903215</v>
      </c>
      <c r="D5">
        <f>[3]Data!$J$2</f>
        <v>31433802015.700001</v>
      </c>
      <c r="E5">
        <f>[4]Data!$J$2</f>
        <v>2791207320.6999998</v>
      </c>
      <c r="F5">
        <f t="shared" si="0"/>
        <v>17222533975.632004</v>
      </c>
      <c r="G5">
        <f t="shared" si="1"/>
        <v>34.091958872388062</v>
      </c>
      <c r="H5">
        <f t="shared" si="2"/>
        <v>16.206716878301719</v>
      </c>
      <c r="I5">
        <f t="shared" si="3"/>
        <v>8.8796363841252696E-2</v>
      </c>
      <c r="J5" s="4">
        <f>(Table1[[#This Row],[GDP_USD]]-B4)/B4</f>
        <v>0.12392615189640528</v>
      </c>
    </row>
    <row r="6" spans="1:10" x14ac:dyDescent="0.35">
      <c r="A6">
        <v>2019</v>
      </c>
      <c r="B6" s="1">
        <f>[1]Data!$I$2</f>
        <v>100378436207.37134</v>
      </c>
      <c r="C6">
        <f>[2]Data!$I$2</f>
        <v>19.097805074283581</v>
      </c>
      <c r="D6">
        <f>[3]Data!$K$2</f>
        <v>34970099589.900002</v>
      </c>
      <c r="E6">
        <f>[4]Data!$K$2</f>
        <v>4491634975.5</v>
      </c>
      <c r="F6">
        <f t="shared" si="0"/>
        <v>19170078083.497871</v>
      </c>
      <c r="G6">
        <f t="shared" si="1"/>
        <v>34.838259003811771</v>
      </c>
      <c r="H6">
        <f t="shared" si="2"/>
        <v>23.430446949334662</v>
      </c>
      <c r="I6">
        <f t="shared" si="3"/>
        <v>0.12844215567510897</v>
      </c>
      <c r="J6" s="4">
        <f>(Table1[[#This Row],[GDP_USD]]-B5)/B5</f>
        <v>8.8668025950893042E-2</v>
      </c>
    </row>
    <row r="7" spans="1:10" x14ac:dyDescent="0.35">
      <c r="A7">
        <v>2020</v>
      </c>
      <c r="B7" s="1">
        <f>[1]Data!$J$2</f>
        <v>100657505750.545</v>
      </c>
      <c r="C7">
        <f>[2]Data!$J$2</f>
        <v>17.658813102538481</v>
      </c>
      <c r="D7">
        <f>[3]Data!$L$2</f>
        <v>38038451074.099998</v>
      </c>
      <c r="E7">
        <f>[4]Data!$L$2</f>
        <v>2833175648.9000001</v>
      </c>
      <c r="F7">
        <f t="shared" si="0"/>
        <v>17774920814.165665</v>
      </c>
      <c r="G7">
        <f t="shared" si="1"/>
        <v>37.78997978389112</v>
      </c>
      <c r="H7">
        <f t="shared" si="2"/>
        <v>15.939174517402687</v>
      </c>
      <c r="I7">
        <f t="shared" si="3"/>
        <v>7.4481887902872079E-2</v>
      </c>
      <c r="J7" s="4">
        <f>(Table1[[#This Row],[GDP_USD]]-B6)/B6</f>
        <v>2.7801742457626241E-3</v>
      </c>
    </row>
    <row r="8" spans="1:10" x14ac:dyDescent="0.35">
      <c r="A8">
        <v>2021</v>
      </c>
      <c r="B8" s="1">
        <f>[1]Data!$K$2</f>
        <v>109703658904.99373</v>
      </c>
      <c r="C8">
        <f>[2]Data!$K$2</f>
        <v>17.345238350257517</v>
      </c>
      <c r="D8">
        <f>[3]Data!$M$2</f>
        <v>41219100011.5</v>
      </c>
      <c r="E8">
        <f>[4]Data!$M$2</f>
        <v>2445808263.6999998</v>
      </c>
      <c r="F8">
        <f t="shared" si="0"/>
        <v>19028361116.024666</v>
      </c>
      <c r="G8">
        <f t="shared" si="1"/>
        <v>37.57313149162767</v>
      </c>
      <c r="H8">
        <f t="shared" si="2"/>
        <v>12.853488793841899</v>
      </c>
      <c r="I8">
        <f t="shared" si="3"/>
        <v>5.9336770162803823E-2</v>
      </c>
      <c r="J8" s="4">
        <f>(Table1[[#This Row],[GDP_USD]]-B7)/B7</f>
        <v>8.9870627003885914E-2</v>
      </c>
    </row>
    <row r="9" spans="1:10" x14ac:dyDescent="0.35">
      <c r="A9">
        <v>2022</v>
      </c>
      <c r="B9" s="1">
        <f>[1]Data!$L$2</f>
        <v>114448978152.63741</v>
      </c>
      <c r="C9">
        <f>[2]Data!$L$2</f>
        <v>17.882609486597197</v>
      </c>
      <c r="D9">
        <f>[3]Data!$N$2</f>
        <v>41556299639.800003</v>
      </c>
      <c r="E9">
        <f>[4]Data!$N$2</f>
        <v>3336847410.9000001</v>
      </c>
      <c r="F9">
        <f t="shared" si="0"/>
        <v>20466463824.437092</v>
      </c>
      <c r="G9">
        <f t="shared" si="1"/>
        <v>36.309891368691403</v>
      </c>
      <c r="H9">
        <f t="shared" si="2"/>
        <v>16.303976297633703</v>
      </c>
      <c r="I9">
        <f t="shared" si="3"/>
        <v>8.0297029327033198E-2</v>
      </c>
      <c r="J9" s="4">
        <f>(Table1[[#This Row],[GDP_USD]]-B8)/B8</f>
        <v>4.3255797436558142E-2</v>
      </c>
    </row>
    <row r="10" spans="1:10" x14ac:dyDescent="0.35">
      <c r="A10">
        <v>2023</v>
      </c>
      <c r="B10" s="1">
        <f>[1]Data!$M$2</f>
        <v>108038588970.59505</v>
      </c>
      <c r="C10">
        <f>[2]Data!$M$2</f>
        <v>18.546064622424499</v>
      </c>
      <c r="D10">
        <f>[3]Data!$O$2</f>
        <v>42910026054.199997</v>
      </c>
      <c r="E10">
        <f>[4]Data!$O$2</f>
        <v>3872519305.3000002</v>
      </c>
      <c r="F10">
        <f t="shared" si="0"/>
        <v>20036906527.642143</v>
      </c>
      <c r="G10">
        <f t="shared" si="1"/>
        <v>39.717314399467817</v>
      </c>
      <c r="H10">
        <f t="shared" si="2"/>
        <v>19.326932028941805</v>
      </c>
      <c r="I10">
        <f t="shared" si="3"/>
        <v>9.0247423770113536E-2</v>
      </c>
      <c r="J10" s="4">
        <f>(Table1[[#This Row],[GDP_USD]]-B9)/B9</f>
        <v>-5.6010890490372063E-2</v>
      </c>
    </row>
    <row r="11" spans="1:10" x14ac:dyDescent="0.35">
      <c r="A11">
        <v>2024</v>
      </c>
      <c r="B11" s="1">
        <f>[1]Data!$N$2</f>
        <v>124498691699.125</v>
      </c>
      <c r="C11">
        <f>C10</f>
        <v>18.546064622424499</v>
      </c>
      <c r="D11">
        <f>D10+(D10-D9)</f>
        <v>44263752468.599991</v>
      </c>
      <c r="E11">
        <f>[4]Data!$P$2</f>
        <v>5979599085.3000002</v>
      </c>
      <c r="F11">
        <f>C11/100*B11</f>
        <v>23089607816.59277</v>
      </c>
      <c r="G11">
        <f t="shared" si="1"/>
        <v>35.553588446994972</v>
      </c>
      <c r="H11">
        <f t="shared" si="2"/>
        <v>25.89736098073918</v>
      </c>
      <c r="I11">
        <f t="shared" si="3"/>
        <v>0.13509019800211999</v>
      </c>
      <c r="J11" s="4">
        <f>(Table1[[#This Row],[GDP_USD]]-B10)/B10</f>
        <v>0.15235392173633361</v>
      </c>
    </row>
    <row r="14" spans="1:10" x14ac:dyDescent="0.35">
      <c r="A14" s="3"/>
      <c r="H14" s="2" t="s">
        <v>12</v>
      </c>
    </row>
    <row r="15" spans="1:10" x14ac:dyDescent="0.35">
      <c r="H15" t="s">
        <v>9</v>
      </c>
    </row>
    <row r="16" spans="1:10" x14ac:dyDescent="0.35">
      <c r="H16" t="s">
        <v>10</v>
      </c>
    </row>
    <row r="17" spans="8:8" x14ac:dyDescent="0.35">
      <c r="H17" t="s">
        <v>11</v>
      </c>
    </row>
    <row r="19" spans="8:8" x14ac:dyDescent="0.35">
      <c r="H19" s="5" t="s">
        <v>19</v>
      </c>
    </row>
    <row r="20" spans="8:8" x14ac:dyDescent="0.35">
      <c r="H20" s="4">
        <f>AVERAGE(J3, J4, J5, J6, J7, J8, J9, J10, J11)</f>
        <v>6.7590944778129797E-2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C38F-46A9-49BC-A7A9-A6FF715713C3}">
  <dimension ref="A1"/>
  <sheetViews>
    <sheetView workbookViewId="0">
      <selection activeCell="L1" sqref="L1"/>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409CA-502C-45EB-BE36-BD8C35E98095}">
  <dimension ref="A1:G9"/>
  <sheetViews>
    <sheetView tabSelected="1" workbookViewId="0">
      <selection activeCell="D10" sqref="D10"/>
    </sheetView>
  </sheetViews>
  <sheetFormatPr defaultRowHeight="14.5" x14ac:dyDescent="0.35"/>
  <cols>
    <col min="2" max="2" width="18.36328125" customWidth="1"/>
    <col min="3" max="3" width="26.26953125" customWidth="1"/>
    <col min="4" max="4" width="21.54296875" customWidth="1"/>
    <col min="5" max="5" width="24.26953125" customWidth="1"/>
    <col min="6" max="6" width="25.7265625" customWidth="1"/>
    <col min="7" max="7" width="21.26953125" customWidth="1"/>
  </cols>
  <sheetData>
    <row r="1" spans="1:7" x14ac:dyDescent="0.35">
      <c r="A1" t="s">
        <v>0</v>
      </c>
      <c r="B1" t="s">
        <v>13</v>
      </c>
      <c r="C1" t="s">
        <v>14</v>
      </c>
      <c r="D1" t="s">
        <v>15</v>
      </c>
      <c r="E1" t="s">
        <v>16</v>
      </c>
      <c r="F1" t="s">
        <v>17</v>
      </c>
      <c r="G1" t="s">
        <v>20</v>
      </c>
    </row>
    <row r="2" spans="1:7" x14ac:dyDescent="0.35">
      <c r="A2">
        <v>2025</v>
      </c>
      <c r="B2" s="6">
        <f>Clean!B11*(1+0.0676)</f>
        <v>132914803257.98587</v>
      </c>
      <c r="C2">
        <f>Clean!C11</f>
        <v>18.546064622424499</v>
      </c>
      <c r="D2" s="1">
        <f>B2*C2/100</f>
        <v>24650465304.994442</v>
      </c>
      <c r="E2" s="1">
        <f>Clean!G11/100*B2</f>
        <v>47255982135.477364</v>
      </c>
      <c r="F2">
        <f>E2/B2*100</f>
        <v>35.553588446994972</v>
      </c>
      <c r="G2">
        <f>Clean!I11*E2</f>
        <v>6383819983.4662819</v>
      </c>
    </row>
    <row r="3" spans="1:7" x14ac:dyDescent="0.35">
      <c r="E3" s="1"/>
    </row>
    <row r="5" spans="1:7" x14ac:dyDescent="0.35">
      <c r="B5" s="2" t="s">
        <v>21</v>
      </c>
    </row>
    <row r="6" spans="1:7" x14ac:dyDescent="0.35">
      <c r="B6" t="s">
        <v>22</v>
      </c>
    </row>
    <row r="7" spans="1:7" x14ac:dyDescent="0.35">
      <c r="B7" t="s">
        <v>25</v>
      </c>
    </row>
    <row r="8" spans="1:7" x14ac:dyDescent="0.35">
      <c r="B8" t="s">
        <v>24</v>
      </c>
    </row>
    <row r="9" spans="1:7" x14ac:dyDescent="0.35">
      <c r="B9"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vt:lpstr>
      <vt:lpstr>Charts representation</vt:lpstr>
      <vt:lpstr>2025 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imbosa</dc:creator>
  <cp:lastModifiedBy>tracy imbosa</cp:lastModifiedBy>
  <dcterms:created xsi:type="dcterms:W3CDTF">2025-09-17T15:31:41Z</dcterms:created>
  <dcterms:modified xsi:type="dcterms:W3CDTF">2025-09-17T20:07:26Z</dcterms:modified>
</cp:coreProperties>
</file>