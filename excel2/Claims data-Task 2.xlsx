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tracy\Downloads\"/>
    </mc:Choice>
  </mc:AlternateContent>
  <xr:revisionPtr revIDLastSave="0" documentId="13_ncr:1_{C7022D61-07B7-43E6-877C-F3E0F9AA6846}" xr6:coauthVersionLast="47" xr6:coauthVersionMax="47" xr10:uidLastSave="{00000000-0000-0000-0000-000000000000}"/>
  <bookViews>
    <workbookView xWindow="-110" yWindow="-110" windowWidth="19420" windowHeight="11020" activeTab="3" xr2:uid="{DBE5CE84-00A1-1C47-A184-6FDC23602198}"/>
  </bookViews>
  <sheets>
    <sheet name="Claims data summary" sheetId="11" r:id="rId1"/>
    <sheet name="Claims Data" sheetId="1" r:id="rId2"/>
    <sheet name="Pure Premium Work" sheetId="2" r:id="rId3"/>
    <sheet name="Report" sheetId="9" r:id="rId4"/>
  </sheets>
  <definedNames>
    <definedName name="_xlnm._FilterDatabase" localSheetId="1" hidden="1">'Claims Data'!$A$1:$S$101</definedName>
    <definedName name="_xlnm._FilterDatabase" localSheetId="2" hidden="1">'Pure Premium Work'!$N$49:$N$55</definedName>
  </definedNames>
  <calcPr calcId="191029"/>
  <pivotCaches>
    <pivotCache cacheId="0" r:id="rId5"/>
    <pivotCache cacheId="1"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2" i="2" l="1"/>
  <c r="G17" i="2"/>
  <c r="G18" i="2"/>
  <c r="G19" i="2"/>
  <c r="H65" i="2" l="1"/>
  <c r="B47" i="2"/>
  <c r="B39" i="2" a="1"/>
  <c r="B39" i="2" s="1"/>
  <c r="B43" i="2"/>
  <c r="H41" i="2"/>
  <c r="J33" i="2"/>
  <c r="J34" i="2"/>
  <c r="J35" i="2"/>
  <c r="J36" i="2"/>
  <c r="I32" i="2"/>
  <c r="I33" i="2"/>
  <c r="I34" i="2"/>
  <c r="I35" i="2"/>
  <c r="I36" i="2"/>
  <c r="I31" i="2"/>
  <c r="H32" i="2"/>
  <c r="J32" i="2" s="1"/>
  <c r="H33" i="2"/>
  <c r="H34" i="2"/>
  <c r="H35" i="2"/>
  <c r="H36" i="2"/>
  <c r="H31" i="2"/>
  <c r="J31" i="2" s="1"/>
  <c r="G21" i="2"/>
  <c r="G20" i="2"/>
  <c r="G22" i="2"/>
  <c r="J6" i="2"/>
  <c r="J7" i="2"/>
  <c r="J8" i="2"/>
  <c r="J9" i="2"/>
  <c r="J10" i="2"/>
  <c r="J5" i="2"/>
  <c r="I6" i="2"/>
  <c r="I7" i="2"/>
  <c r="I8" i="2"/>
  <c r="I9" i="2"/>
  <c r="I10" i="2"/>
  <c r="I5" i="2"/>
  <c r="F3" i="1"/>
  <c r="F4" i="1"/>
  <c r="F5" i="1"/>
  <c r="F6" i="1"/>
  <c r="F7" i="1"/>
  <c r="F2"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8" i="1"/>
  <c r="H6" i="2"/>
  <c r="H7" i="2"/>
  <c r="H8" i="2"/>
  <c r="H9" i="2"/>
  <c r="H10" i="2"/>
  <c r="B16" i="2"/>
  <c r="B17" i="2" s="1"/>
  <c r="B18" i="2" s="1"/>
  <c r="B19" i="2" s="1"/>
  <c r="B20" i="2" s="1"/>
  <c r="C15" i="2"/>
  <c r="H5" i="2" s="1"/>
  <c r="H42" i="2" l="1"/>
  <c r="S19" i="1"/>
  <c r="E10" i="2"/>
  <c r="E9" i="2" s="1"/>
  <c r="G58" i="2" l="1"/>
  <c r="H64" i="2"/>
  <c r="H66" i="2" s="1"/>
  <c r="H67" i="2" s="1"/>
  <c r="S3" i="1"/>
  <c r="S4" i="1"/>
  <c r="S5" i="1"/>
  <c r="S6" i="1"/>
  <c r="S7" i="1"/>
  <c r="S8" i="1"/>
  <c r="S9" i="1"/>
  <c r="S10" i="1"/>
  <c r="S11" i="1"/>
  <c r="S12" i="1"/>
  <c r="S13" i="1"/>
  <c r="S14" i="1"/>
  <c r="S15" i="1"/>
  <c r="S16" i="1"/>
  <c r="S17" i="1"/>
  <c r="S18"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2" i="1"/>
  <c r="G6" i="2"/>
  <c r="E8" i="2"/>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O100" i="1" l="1"/>
  <c r="P100" i="1"/>
  <c r="Q100" i="1" s="1"/>
  <c r="P68" i="1"/>
  <c r="Q68" i="1" s="1"/>
  <c r="O68" i="1"/>
  <c r="O44" i="1"/>
  <c r="P44" i="1"/>
  <c r="Q44" i="1" s="1"/>
  <c r="P4" i="1"/>
  <c r="Q4" i="1" s="1"/>
  <c r="O4" i="1"/>
  <c r="P75" i="1"/>
  <c r="Q75" i="1" s="1"/>
  <c r="O75" i="1"/>
  <c r="P35" i="1"/>
  <c r="Q35" i="1" s="1"/>
  <c r="O35" i="1"/>
  <c r="O3" i="1"/>
  <c r="P3" i="1"/>
  <c r="Q3" i="1" s="1"/>
  <c r="O98" i="1"/>
  <c r="P98" i="1"/>
  <c r="Q98" i="1" s="1"/>
  <c r="R98" i="1" s="1"/>
  <c r="O90" i="1"/>
  <c r="P90" i="1"/>
  <c r="Q90" i="1" s="1"/>
  <c r="O82" i="1"/>
  <c r="P82" i="1"/>
  <c r="Q82" i="1" s="1"/>
  <c r="O74" i="1"/>
  <c r="P74" i="1"/>
  <c r="Q74" i="1" s="1"/>
  <c r="O66" i="1"/>
  <c r="P66" i="1"/>
  <c r="Q66" i="1" s="1"/>
  <c r="O58" i="1"/>
  <c r="P58" i="1"/>
  <c r="Q58" i="1" s="1"/>
  <c r="O50" i="1"/>
  <c r="P50" i="1"/>
  <c r="Q50" i="1" s="1"/>
  <c r="R50" i="1" s="1"/>
  <c r="O42" i="1"/>
  <c r="P42" i="1"/>
  <c r="Q42" i="1" s="1"/>
  <c r="O34" i="1"/>
  <c r="P34" i="1"/>
  <c r="Q34" i="1" s="1"/>
  <c r="R34" i="1" s="1"/>
  <c r="O26" i="1"/>
  <c r="P26" i="1"/>
  <c r="Q26" i="1" s="1"/>
  <c r="O18" i="1"/>
  <c r="P18" i="1"/>
  <c r="Q18" i="1" s="1"/>
  <c r="O10" i="1"/>
  <c r="P10" i="1"/>
  <c r="Q10" i="1" s="1"/>
  <c r="O2" i="1"/>
  <c r="P2" i="1"/>
  <c r="Q2" i="1" s="1"/>
  <c r="R2" i="1" s="1"/>
  <c r="O9" i="1"/>
  <c r="P9" i="1"/>
  <c r="Q9" i="1" s="1"/>
  <c r="P60" i="1"/>
  <c r="Q60" i="1" s="1"/>
  <c r="R60" i="1" s="1"/>
  <c r="O60" i="1"/>
  <c r="O36" i="1"/>
  <c r="P36" i="1"/>
  <c r="Q36" i="1" s="1"/>
  <c r="P12" i="1"/>
  <c r="Q12" i="1" s="1"/>
  <c r="O12" i="1"/>
  <c r="P91" i="1"/>
  <c r="Q91" i="1" s="1"/>
  <c r="O91" i="1"/>
  <c r="P59" i="1"/>
  <c r="Q59" i="1" s="1"/>
  <c r="O59" i="1"/>
  <c r="O27" i="1"/>
  <c r="P27" i="1"/>
  <c r="Q27" i="1" s="1"/>
  <c r="R27" i="1" s="1"/>
  <c r="O97" i="1"/>
  <c r="P97" i="1"/>
  <c r="Q97" i="1" s="1"/>
  <c r="O65" i="1"/>
  <c r="P65" i="1"/>
  <c r="Q65" i="1" s="1"/>
  <c r="R65" i="1" s="1"/>
  <c r="O49" i="1"/>
  <c r="P49" i="1"/>
  <c r="Q49" i="1" s="1"/>
  <c r="O33" i="1"/>
  <c r="P33" i="1"/>
  <c r="Q33" i="1" s="1"/>
  <c r="O17" i="1"/>
  <c r="P17" i="1"/>
  <c r="Q17" i="1" s="1"/>
  <c r="R17" i="1" s="1"/>
  <c r="O96" i="1"/>
  <c r="P96" i="1"/>
  <c r="Q96" i="1" s="1"/>
  <c r="R96" i="1" s="1"/>
  <c r="O88" i="1"/>
  <c r="P88" i="1"/>
  <c r="Q88" i="1" s="1"/>
  <c r="O80" i="1"/>
  <c r="P80" i="1"/>
  <c r="Q80" i="1" s="1"/>
  <c r="O72" i="1"/>
  <c r="P72" i="1"/>
  <c r="Q72" i="1" s="1"/>
  <c r="R72" i="1" s="1"/>
  <c r="O64" i="1"/>
  <c r="P64" i="1"/>
  <c r="Q64" i="1" s="1"/>
  <c r="O56" i="1"/>
  <c r="P56" i="1"/>
  <c r="Q56" i="1" s="1"/>
  <c r="O48" i="1"/>
  <c r="P48" i="1"/>
  <c r="Q48" i="1" s="1"/>
  <c r="O40" i="1"/>
  <c r="P40" i="1"/>
  <c r="Q40" i="1" s="1"/>
  <c r="R40" i="1" s="1"/>
  <c r="O32" i="1"/>
  <c r="P32" i="1"/>
  <c r="Q32" i="1" s="1"/>
  <c r="O24" i="1"/>
  <c r="P24" i="1"/>
  <c r="Q24" i="1" s="1"/>
  <c r="O16" i="1"/>
  <c r="P16" i="1"/>
  <c r="Q16" i="1" s="1"/>
  <c r="P8" i="1"/>
  <c r="Q8" i="1" s="1"/>
  <c r="O8" i="1"/>
  <c r="P99" i="1"/>
  <c r="Q99" i="1" s="1"/>
  <c r="O99" i="1"/>
  <c r="O67" i="1"/>
  <c r="P67" i="1"/>
  <c r="Q67" i="1" s="1"/>
  <c r="O19" i="1"/>
  <c r="P19" i="1"/>
  <c r="Q19" i="1" s="1"/>
  <c r="O81" i="1"/>
  <c r="P81" i="1"/>
  <c r="Q81" i="1" s="1"/>
  <c r="O41" i="1"/>
  <c r="P41" i="1"/>
  <c r="Q41" i="1" s="1"/>
  <c r="R41" i="1" s="1"/>
  <c r="O87" i="1"/>
  <c r="P87" i="1"/>
  <c r="Q87" i="1" s="1"/>
  <c r="O71" i="1"/>
  <c r="P71" i="1"/>
  <c r="Q71" i="1" s="1"/>
  <c r="O55" i="1"/>
  <c r="P55" i="1"/>
  <c r="Q55" i="1" s="1"/>
  <c r="O47" i="1"/>
  <c r="P47" i="1"/>
  <c r="Q47" i="1" s="1"/>
  <c r="O39" i="1"/>
  <c r="P39" i="1"/>
  <c r="Q39" i="1" s="1"/>
  <c r="O31" i="1"/>
  <c r="P31" i="1"/>
  <c r="Q31" i="1" s="1"/>
  <c r="O23" i="1"/>
  <c r="P23" i="1"/>
  <c r="Q23" i="1" s="1"/>
  <c r="O15" i="1"/>
  <c r="P15" i="1"/>
  <c r="Q15" i="1" s="1"/>
  <c r="O7" i="1"/>
  <c r="P7" i="1"/>
  <c r="Q7" i="1" s="1"/>
  <c r="O84" i="1"/>
  <c r="P84" i="1"/>
  <c r="Q84" i="1" s="1"/>
  <c r="R84" i="1" s="1"/>
  <c r="P52" i="1"/>
  <c r="Q52" i="1" s="1"/>
  <c r="O52" i="1"/>
  <c r="P28" i="1"/>
  <c r="Q28" i="1" s="1"/>
  <c r="O28" i="1"/>
  <c r="P20" i="1"/>
  <c r="Q20" i="1" s="1"/>
  <c r="O20" i="1"/>
  <c r="O83" i="1"/>
  <c r="P83" i="1"/>
  <c r="Q83" i="1" s="1"/>
  <c r="P51" i="1"/>
  <c r="Q51" i="1" s="1"/>
  <c r="R51" i="1" s="1"/>
  <c r="O51" i="1"/>
  <c r="P43" i="1"/>
  <c r="Q43" i="1" s="1"/>
  <c r="O43" i="1"/>
  <c r="O11" i="1"/>
  <c r="P11" i="1"/>
  <c r="Q11" i="1" s="1"/>
  <c r="O89" i="1"/>
  <c r="P89" i="1"/>
  <c r="Q89" i="1" s="1"/>
  <c r="R89" i="1" s="1"/>
  <c r="O73" i="1"/>
  <c r="P73" i="1"/>
  <c r="Q73" i="1" s="1"/>
  <c r="R73" i="1" s="1"/>
  <c r="O57" i="1"/>
  <c r="P57" i="1"/>
  <c r="Q57" i="1" s="1"/>
  <c r="O25" i="1"/>
  <c r="P25" i="1"/>
  <c r="Q25" i="1" s="1"/>
  <c r="O95" i="1"/>
  <c r="P95" i="1"/>
  <c r="Q95" i="1" s="1"/>
  <c r="O79" i="1"/>
  <c r="P79" i="1"/>
  <c r="Q79" i="1" s="1"/>
  <c r="O63" i="1"/>
  <c r="P63" i="1"/>
  <c r="Q63" i="1" s="1"/>
  <c r="R63" i="1" s="1"/>
  <c r="P94" i="1"/>
  <c r="Q94" i="1" s="1"/>
  <c r="R94" i="1" s="1"/>
  <c r="O94" i="1"/>
  <c r="P86" i="1"/>
  <c r="Q86" i="1" s="1"/>
  <c r="O86" i="1"/>
  <c r="P78" i="1"/>
  <c r="Q78" i="1" s="1"/>
  <c r="O78" i="1"/>
  <c r="P70" i="1"/>
  <c r="Q70" i="1" s="1"/>
  <c r="O70" i="1"/>
  <c r="O62" i="1"/>
  <c r="P62" i="1"/>
  <c r="Q62" i="1" s="1"/>
  <c r="R62" i="1" s="1"/>
  <c r="P54" i="1"/>
  <c r="Q54" i="1" s="1"/>
  <c r="O54" i="1"/>
  <c r="P46" i="1"/>
  <c r="Q46" i="1" s="1"/>
  <c r="R46" i="1" s="1"/>
  <c r="O46" i="1"/>
  <c r="P38" i="1"/>
  <c r="Q38" i="1" s="1"/>
  <c r="O38" i="1"/>
  <c r="P30" i="1"/>
  <c r="Q30" i="1" s="1"/>
  <c r="O30" i="1"/>
  <c r="P22" i="1"/>
  <c r="Q22" i="1" s="1"/>
  <c r="R22" i="1" s="1"/>
  <c r="O22" i="1"/>
  <c r="P14" i="1"/>
  <c r="Q14" i="1" s="1"/>
  <c r="R14" i="1" s="1"/>
  <c r="O14" i="1"/>
  <c r="O6" i="1"/>
  <c r="P6" i="1"/>
  <c r="Q6" i="1" s="1"/>
  <c r="O92" i="1"/>
  <c r="P92" i="1"/>
  <c r="Q92" i="1" s="1"/>
  <c r="O76" i="1"/>
  <c r="P76" i="1"/>
  <c r="Q76" i="1" s="1"/>
  <c r="R76" i="1" s="1"/>
  <c r="O101" i="1"/>
  <c r="P101" i="1"/>
  <c r="Q101" i="1" s="1"/>
  <c r="R101" i="1" s="1"/>
  <c r="O93" i="1"/>
  <c r="P93" i="1"/>
  <c r="Q93" i="1" s="1"/>
  <c r="O85" i="1"/>
  <c r="P85" i="1"/>
  <c r="Q85" i="1" s="1"/>
  <c r="R85" i="1" s="1"/>
  <c r="P77" i="1"/>
  <c r="Q77" i="1" s="1"/>
  <c r="R77" i="1" s="1"/>
  <c r="O77" i="1"/>
  <c r="O69" i="1"/>
  <c r="P69" i="1"/>
  <c r="Q69" i="1" s="1"/>
  <c r="P61" i="1"/>
  <c r="Q61" i="1" s="1"/>
  <c r="O61" i="1"/>
  <c r="P53" i="1"/>
  <c r="Q53" i="1" s="1"/>
  <c r="O53" i="1"/>
  <c r="P45" i="1"/>
  <c r="Q45" i="1" s="1"/>
  <c r="O45" i="1"/>
  <c r="O37" i="1"/>
  <c r="P37" i="1"/>
  <c r="Q37" i="1" s="1"/>
  <c r="R37" i="1" s="1"/>
  <c r="O29" i="1"/>
  <c r="P29" i="1"/>
  <c r="Q29" i="1" s="1"/>
  <c r="R29" i="1" s="1"/>
  <c r="P21" i="1"/>
  <c r="Q21" i="1" s="1"/>
  <c r="O21" i="1"/>
  <c r="P13" i="1"/>
  <c r="Q13" i="1" s="1"/>
  <c r="R13" i="1" s="1"/>
  <c r="O13" i="1"/>
  <c r="P5" i="1"/>
  <c r="Q5" i="1" s="1"/>
  <c r="R5" i="1" s="1"/>
  <c r="O5" i="1"/>
  <c r="G7" i="2"/>
  <c r="E7" i="2"/>
  <c r="E6" i="2" s="1"/>
  <c r="E5" i="2" s="1"/>
  <c r="L2" i="1"/>
  <c r="R4" i="1"/>
  <c r="R7" i="1"/>
  <c r="R10" i="1"/>
  <c r="R12" i="1"/>
  <c r="R15" i="1"/>
  <c r="R16" i="1"/>
  <c r="R24" i="1"/>
  <c r="R25" i="1"/>
  <c r="R26" i="1"/>
  <c r="R28" i="1"/>
  <c r="R36" i="1"/>
  <c r="R38" i="1"/>
  <c r="R39" i="1"/>
  <c r="R48" i="1"/>
  <c r="R49" i="1"/>
  <c r="R52" i="1"/>
  <c r="R53" i="1"/>
  <c r="R58" i="1"/>
  <c r="R61" i="1"/>
  <c r="R70" i="1"/>
  <c r="R74" i="1"/>
  <c r="R75" i="1"/>
  <c r="R82" i="1"/>
  <c r="R86" i="1"/>
  <c r="R87" i="1"/>
  <c r="R99"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R3" i="1" l="1"/>
  <c r="G8" i="2"/>
  <c r="R90" i="1"/>
  <c r="R78" i="1"/>
  <c r="R66" i="1"/>
  <c r="R54" i="1"/>
  <c r="R42" i="1"/>
  <c r="R30" i="1"/>
  <c r="R18" i="1"/>
  <c r="R6" i="1"/>
  <c r="R92" i="1"/>
  <c r="R80" i="1"/>
  <c r="R68" i="1"/>
  <c r="R56" i="1"/>
  <c r="R44" i="1"/>
  <c r="R32" i="1"/>
  <c r="R20" i="1"/>
  <c r="R8" i="1"/>
  <c r="R91" i="1"/>
  <c r="R79" i="1"/>
  <c r="R67" i="1"/>
  <c r="R55" i="1"/>
  <c r="R43" i="1"/>
  <c r="R31" i="1"/>
  <c r="R19" i="1"/>
  <c r="R100" i="1"/>
  <c r="R88" i="1"/>
  <c r="R64" i="1"/>
  <c r="R97" i="1"/>
  <c r="R95" i="1"/>
  <c r="R83" i="1"/>
  <c r="R71" i="1"/>
  <c r="R59" i="1"/>
  <c r="R47" i="1"/>
  <c r="R35" i="1"/>
  <c r="R23" i="1"/>
  <c r="R11" i="1"/>
  <c r="R93" i="1"/>
  <c r="R81" i="1"/>
  <c r="R69" i="1"/>
  <c r="R57" i="1"/>
  <c r="R45" i="1"/>
  <c r="R33" i="1"/>
  <c r="R21" i="1"/>
  <c r="R9" i="1"/>
  <c r="G9" i="2" l="1"/>
  <c r="G10" i="2" l="1"/>
</calcChain>
</file>

<file path=xl/sharedStrings.xml><?xml version="1.0" encoding="utf-8"?>
<sst xmlns="http://schemas.openxmlformats.org/spreadsheetml/2006/main" count="764" uniqueCount="236">
  <si>
    <t>Date of Claim</t>
  </si>
  <si>
    <t>Type of Claim</t>
  </si>
  <si>
    <t>Claim Status</t>
  </si>
  <si>
    <t>Policy Limits ($)</t>
  </si>
  <si>
    <t>Deductible ($)</t>
  </si>
  <si>
    <t>Cause of Loss</t>
  </si>
  <si>
    <t>Location</t>
  </si>
  <si>
    <t>Insured Party</t>
  </si>
  <si>
    <t>Prior Claims History</t>
  </si>
  <si>
    <t>CLM-00001</t>
  </si>
  <si>
    <t>Collision Liability</t>
  </si>
  <si>
    <t>Closed</t>
  </si>
  <si>
    <t>Human Error</t>
  </si>
  <si>
    <t>Indian Ocean</t>
  </si>
  <si>
    <t>Company 9</t>
  </si>
  <si>
    <t>CLM-00002</t>
  </si>
  <si>
    <t>Cargo Liability</t>
  </si>
  <si>
    <t>Technical Failure</t>
  </si>
  <si>
    <t>Atlantic Ocean</t>
  </si>
  <si>
    <t>Company 4</t>
  </si>
  <si>
    <t>CLM-00003</t>
  </si>
  <si>
    <t>Damage to Other Vessels</t>
  </si>
  <si>
    <t>Criminal Activity</t>
  </si>
  <si>
    <t>Mediterranean Sea</t>
  </si>
  <si>
    <t>Company 2</t>
  </si>
  <si>
    <t>CLM-00004</t>
  </si>
  <si>
    <t>Environmental Pollution</t>
  </si>
  <si>
    <t>Open</t>
  </si>
  <si>
    <t>Natural Disaster</t>
  </si>
  <si>
    <t>Pacific Ocean</t>
  </si>
  <si>
    <t>Company 17</t>
  </si>
  <si>
    <t>CLM-00005</t>
  </si>
  <si>
    <t>Injury to Third Parties</t>
  </si>
  <si>
    <t>In Litigation</t>
  </si>
  <si>
    <t>Company 12</t>
  </si>
  <si>
    <t>CLM-00006</t>
  </si>
  <si>
    <t>Company 3</t>
  </si>
  <si>
    <t>CLM-00007</t>
  </si>
  <si>
    <t>North Sea</t>
  </si>
  <si>
    <t>Company 11</t>
  </si>
  <si>
    <t>CLM-00008</t>
  </si>
  <si>
    <t>Company 5</t>
  </si>
  <si>
    <t>CLM-00009</t>
  </si>
  <si>
    <t>Company 8</t>
  </si>
  <si>
    <t>CLM-00010</t>
  </si>
  <si>
    <t>Company 10</t>
  </si>
  <si>
    <t>CLM-00011</t>
  </si>
  <si>
    <t>Company 7</t>
  </si>
  <si>
    <t>CLM-00012</t>
  </si>
  <si>
    <t>Company 6</t>
  </si>
  <si>
    <t>CLM-00013</t>
  </si>
  <si>
    <t>Company 13</t>
  </si>
  <si>
    <t>CLM-00014</t>
  </si>
  <si>
    <t>Company 19</t>
  </si>
  <si>
    <t>CLM-00015</t>
  </si>
  <si>
    <t>Company 14</t>
  </si>
  <si>
    <t>CLM-00016</t>
  </si>
  <si>
    <t>Company 1</t>
  </si>
  <si>
    <t>CLM-00017</t>
  </si>
  <si>
    <t>Company 15</t>
  </si>
  <si>
    <t>CLM-00018</t>
  </si>
  <si>
    <t>CLM-00019</t>
  </si>
  <si>
    <t>CLM-00020</t>
  </si>
  <si>
    <t>CLM-00021</t>
  </si>
  <si>
    <t>CLM-00022</t>
  </si>
  <si>
    <t>Company 16</t>
  </si>
  <si>
    <t>CLM-00023</t>
  </si>
  <si>
    <t>CLM-00024</t>
  </si>
  <si>
    <t>CLM-00025</t>
  </si>
  <si>
    <t>CLM-00026</t>
  </si>
  <si>
    <t>CLM-00027</t>
  </si>
  <si>
    <t>CLM-00028</t>
  </si>
  <si>
    <t>Company 18</t>
  </si>
  <si>
    <t>CLM-00029</t>
  </si>
  <si>
    <t>CLM-00030</t>
  </si>
  <si>
    <t>CLM-00031</t>
  </si>
  <si>
    <t>Company 20</t>
  </si>
  <si>
    <t>CLM-00032</t>
  </si>
  <si>
    <t>CLM-00033</t>
  </si>
  <si>
    <t>CLM-00034</t>
  </si>
  <si>
    <t>CLM-00035</t>
  </si>
  <si>
    <t>Claim ID</t>
  </si>
  <si>
    <t>CLM-00036</t>
  </si>
  <si>
    <t>CLM-00037</t>
  </si>
  <si>
    <t>CLM-00038</t>
  </si>
  <si>
    <t>CLM-00039</t>
  </si>
  <si>
    <t>CLM-00040</t>
  </si>
  <si>
    <t>CLM-00041</t>
  </si>
  <si>
    <t>CLM-00042</t>
  </si>
  <si>
    <t>CLM-00043</t>
  </si>
  <si>
    <t>CLM-00044</t>
  </si>
  <si>
    <t>CLM-00045</t>
  </si>
  <si>
    <t>CLM-00046</t>
  </si>
  <si>
    <t>CLM-00047</t>
  </si>
  <si>
    <t>CLM-00048</t>
  </si>
  <si>
    <t>CLM-00049</t>
  </si>
  <si>
    <t>CLM-00050</t>
  </si>
  <si>
    <t>CLM-00051</t>
  </si>
  <si>
    <t>CLM-00052</t>
  </si>
  <si>
    <t>CLM-00053</t>
  </si>
  <si>
    <t>CLM-00054</t>
  </si>
  <si>
    <t>CLM-00055</t>
  </si>
  <si>
    <t>CLM-00056</t>
  </si>
  <si>
    <t>CLM-00057</t>
  </si>
  <si>
    <t>CLM-00058</t>
  </si>
  <si>
    <t>CLM-00059</t>
  </si>
  <si>
    <t>CLM-00060</t>
  </si>
  <si>
    <t>CLM-00061</t>
  </si>
  <si>
    <t>CLM-00062</t>
  </si>
  <si>
    <t>CLM-00063</t>
  </si>
  <si>
    <t>CLM-00064</t>
  </si>
  <si>
    <t>CLM-00065</t>
  </si>
  <si>
    <t>CLM-00066</t>
  </si>
  <si>
    <t>CLM-00067</t>
  </si>
  <si>
    <t>CLM-00068</t>
  </si>
  <si>
    <t>CLM-00069</t>
  </si>
  <si>
    <t>CLM-00070</t>
  </si>
  <si>
    <t>CLM-00071</t>
  </si>
  <si>
    <t>CLM-00072</t>
  </si>
  <si>
    <t>CLM-00073</t>
  </si>
  <si>
    <t>CLM-00074</t>
  </si>
  <si>
    <t>CLM-00075</t>
  </si>
  <si>
    <t>CLM-00076</t>
  </si>
  <si>
    <t>CLM-00077</t>
  </si>
  <si>
    <t>CLM-00078</t>
  </si>
  <si>
    <t>CLM-00079</t>
  </si>
  <si>
    <t>CLM-00080</t>
  </si>
  <si>
    <t>CLM-00081</t>
  </si>
  <si>
    <t>CLM-00082</t>
  </si>
  <si>
    <t>CLM-00083</t>
  </si>
  <si>
    <t>CLM-00084</t>
  </si>
  <si>
    <t>CLM-00085</t>
  </si>
  <si>
    <t>CLM-00086</t>
  </si>
  <si>
    <t>CLM-00087</t>
  </si>
  <si>
    <t>CLM-00088</t>
  </si>
  <si>
    <t>CLM-00089</t>
  </si>
  <si>
    <t>CLM-00090</t>
  </si>
  <si>
    <t>CLM-00091</t>
  </si>
  <si>
    <t>CLM-00092</t>
  </si>
  <si>
    <t>CLM-00093</t>
  </si>
  <si>
    <t>CLM-00094</t>
  </si>
  <si>
    <t>CLM-00095</t>
  </si>
  <si>
    <t>CLM-00096</t>
  </si>
  <si>
    <t>CLM-00097</t>
  </si>
  <si>
    <t>CLM-00098</t>
  </si>
  <si>
    <t>CLM-00099</t>
  </si>
  <si>
    <t>CLM-00100</t>
  </si>
  <si>
    <t>Inflation Index</t>
  </si>
  <si>
    <t>Inflation Indices (Assumed for the Purpose of This Exercise):</t>
  </si>
  <si>
    <t xml:space="preserve"> 1.08 (8% inflation)</t>
  </si>
  <si>
    <t xml:space="preserve"> 1.05 (5% inflation)</t>
  </si>
  <si>
    <t xml:space="preserve"> 1.04 (4% inflation)</t>
  </si>
  <si>
    <t xml:space="preserve"> 1.03 (3% inflation)</t>
  </si>
  <si>
    <t xml:space="preserve"> 1.02 (2% inflation)</t>
  </si>
  <si>
    <t>Large Loss Event</t>
  </si>
  <si>
    <t>Return Period</t>
  </si>
  <si>
    <t>Large Loss Loading</t>
  </si>
  <si>
    <t>Sensitivity Analysis</t>
  </si>
  <si>
    <t>Gross Tonnage</t>
  </si>
  <si>
    <t>Claim Incurred ($)</t>
  </si>
  <si>
    <t>Total Risk Premium: Pure Premium with Large Loss Loading for Environmental Pollution Claims</t>
  </si>
  <si>
    <t>Total Risk Premium=Pure Premium+Large Loss Loading</t>
  </si>
  <si>
    <t>Final Premium</t>
  </si>
  <si>
    <t>Final Premium=Total Risk Premium×(1+Expense Loading)×(1+Profit Margin)</t>
  </si>
  <si>
    <t>2024 expected gross tonnage</t>
  </si>
  <si>
    <t>1.03 (3% expected over year)</t>
  </si>
  <si>
    <t>Year</t>
  </si>
  <si>
    <t>No of claims</t>
  </si>
  <si>
    <t>Average frequency per unit exposure</t>
  </si>
  <si>
    <t>Average severity per claim</t>
  </si>
  <si>
    <t>Loss cost</t>
  </si>
  <si>
    <t>Claim frequency per unit of gross tonnage</t>
  </si>
  <si>
    <t>Expected loss per unit of gross tonnage</t>
  </si>
  <si>
    <t>Gross tonnage for all exposure</t>
  </si>
  <si>
    <t>Given Assumptions</t>
  </si>
  <si>
    <t>Commission is 0%</t>
  </si>
  <si>
    <t>No adjustment is required for claims development patters</t>
  </si>
  <si>
    <t>Individual policies run from 1/1 - 31/12 each year</t>
  </si>
  <si>
    <t>Find the Final Premium. Assume a 10% profit margin and 30% expense loading</t>
  </si>
  <si>
    <t>Attritional claim flag - (set equal to 1 if claim is less than 1m, otherwise 0)</t>
  </si>
  <si>
    <t>Net claims incurred by claim type</t>
  </si>
  <si>
    <t>Claim count by claim type</t>
  </si>
  <si>
    <t>Net claims incurred by cause of loss</t>
  </si>
  <si>
    <t>Claim count by cause of loss</t>
  </si>
  <si>
    <t>(1 + annual inflation)</t>
  </si>
  <si>
    <t>Inflation index</t>
  </si>
  <si>
    <t>Exposure information for the account provided by client</t>
  </si>
  <si>
    <t xml:space="preserve">Gross tonnage </t>
  </si>
  <si>
    <t>2024 expected gross tonnage provided by client</t>
  </si>
  <si>
    <t>Deductibles in the upcoming policy period will be the same as deductible in prior policy periods.</t>
  </si>
  <si>
    <t>Assume a large loss is any loss &gt;$1m incurred</t>
  </si>
  <si>
    <t>Assume the large loss event is a 1-in-20 year event.</t>
  </si>
  <si>
    <t>Assume expenses are 30% of the loss cost.</t>
  </si>
  <si>
    <t>Assume a 10% profit requirement on this account in calculating the premium</t>
  </si>
  <si>
    <t>Claim severity analysis (average cost per claim)</t>
  </si>
  <si>
    <t>Claim frequency per gross tonnage</t>
  </si>
  <si>
    <t>Average cost per claim (Loss Severity)</t>
  </si>
  <si>
    <t>Loss cost calculation</t>
  </si>
  <si>
    <r>
      <t xml:space="preserve">Derive an appropriate Return Period. </t>
    </r>
    <r>
      <rPr>
        <i/>
        <sz val="12"/>
        <color rgb="FF000000"/>
        <rFont val="Aptos Narrow"/>
        <family val="2"/>
        <scheme val="minor"/>
      </rPr>
      <t>(Consider the information provided in the "Given Assumptions")</t>
    </r>
    <r>
      <rPr>
        <sz val="12"/>
        <color rgb="FF000000"/>
        <rFont val="Aptos Narrow"/>
        <family val="2"/>
        <scheme val="minor"/>
      </rPr>
      <t>.</t>
    </r>
  </si>
  <si>
    <r>
      <t xml:space="preserve">Calculate the Large Loss Loading </t>
    </r>
    <r>
      <rPr>
        <i/>
        <sz val="12"/>
        <color rgb="FF000000"/>
        <rFont val="Aptos Narrow"/>
        <family val="2"/>
        <scheme val="minor"/>
      </rPr>
      <t>(Divide the large loss claim cost by the return period)</t>
    </r>
    <r>
      <rPr>
        <sz val="12"/>
        <color rgb="FF000000"/>
        <rFont val="Aptos Narrow"/>
        <family val="2"/>
        <scheme val="minor"/>
      </rPr>
      <t>.</t>
    </r>
  </si>
  <si>
    <t>Identify the Large Loss Event adjusted for inflation.</t>
  </si>
  <si>
    <r>
      <t xml:space="preserve">Calculate the Loss Frequency using a pivot table, make sure to remove the large loss event. 
</t>
    </r>
    <r>
      <rPr>
        <i/>
        <sz val="12"/>
        <color rgb="FF000000"/>
        <rFont val="Aptos Narrow"/>
        <family val="2"/>
        <scheme val="minor"/>
      </rPr>
      <t>Claim frequency = Number of Claims/Gross Tonnage for all exposure.</t>
    </r>
    <r>
      <rPr>
        <sz val="12"/>
        <color rgb="FF000000"/>
        <rFont val="Aptos Narrow"/>
        <family val="2"/>
        <scheme val="minor"/>
      </rPr>
      <t xml:space="preserve">
</t>
    </r>
  </si>
  <si>
    <r>
      <t xml:space="preserve">Calculate the Average cost per claim (Loss Severity) using a pivot table, make sure to remove the large loss event. Instructions: Create a pivot table with Year,  Sum of Capped net inflation adjusted incurred claim and Count of Claim ID. 
</t>
    </r>
    <r>
      <rPr>
        <i/>
        <sz val="12"/>
        <color rgb="FF000000"/>
        <rFont val="Aptos Narrow"/>
        <family val="2"/>
        <scheme val="minor"/>
      </rPr>
      <t>Loss Severity= Sum of Capped net inflation adjusted incurred claim / Count of Claim ID for each year</t>
    </r>
    <r>
      <rPr>
        <sz val="12"/>
        <color rgb="FF000000"/>
        <rFont val="Aptos Narrow"/>
        <family val="2"/>
        <scheme val="minor"/>
      </rPr>
      <t>.</t>
    </r>
  </si>
  <si>
    <r>
      <t xml:space="preserve">Complete the table below using the values derived in steps 1 and 2. </t>
    </r>
    <r>
      <rPr>
        <i/>
        <sz val="12"/>
        <color rgb="FF000000"/>
        <rFont val="Aptos Narrow"/>
        <family val="2"/>
        <scheme val="minor"/>
      </rPr>
      <t>HINT: Expected loss is the product of claim frequency and average claim severity</t>
    </r>
    <r>
      <rPr>
        <sz val="12"/>
        <color rgb="FF000000"/>
        <rFont val="Aptos Narrow"/>
        <family val="2"/>
        <scheme val="minor"/>
      </rPr>
      <t>.</t>
    </r>
  </si>
  <si>
    <t>Scenario: 6% increase in average loss severity</t>
  </si>
  <si>
    <t>New risk premium following 6% increase in claim severity</t>
  </si>
  <si>
    <t>New final premium</t>
  </si>
  <si>
    <t>New Loss Severity</t>
  </si>
  <si>
    <t>Calculate the following using the values derived in step 3.</t>
  </si>
  <si>
    <r>
      <t xml:space="preserve">Calculate the  Total Risk Premium. 
</t>
    </r>
    <r>
      <rPr>
        <i/>
        <sz val="12"/>
        <color theme="1"/>
        <rFont val="Aptos Narrow"/>
        <family val="2"/>
        <scheme val="minor"/>
      </rPr>
      <t>Pure Premium = Average Frequency per unit of exposure * Average Severity per Claim * Expected Gross Tonnage</t>
    </r>
  </si>
  <si>
    <r>
      <t xml:space="preserve">Conduct a Sensitivity Analysis for a scenario of a 6% increase in loss severity and calculate the new final premium based on the increased severity. </t>
    </r>
    <r>
      <rPr>
        <i/>
        <sz val="12"/>
        <color rgb="FF000000"/>
        <rFont val="Aptos Narrow"/>
        <family val="2"/>
        <scheme val="minor"/>
      </rPr>
      <t>Increase the loss severity by 6% then follow the same calculation used in steps 9 and 10 to derive the revised final premium.</t>
    </r>
  </si>
  <si>
    <t>Row Labels</t>
  </si>
  <si>
    <t>Grand Total</t>
  </si>
  <si>
    <t>Count of Claim ID</t>
  </si>
  <si>
    <t>2018</t>
  </si>
  <si>
    <t>2019</t>
  </si>
  <si>
    <t>2020</t>
  </si>
  <si>
    <t>2021</t>
  </si>
  <si>
    <t>2022</t>
  </si>
  <si>
    <t>2023</t>
  </si>
  <si>
    <t xml:space="preserve">Gross claim amount </t>
  </si>
  <si>
    <t xml:space="preserve">Gross inflation adjusted claim </t>
  </si>
  <si>
    <t xml:space="preserve">Net inflation adjusted claim </t>
  </si>
  <si>
    <t>Capped net adjusted incurred claim</t>
  </si>
  <si>
    <t xml:space="preserve">Average of Gross claim amount </t>
  </si>
  <si>
    <t>Avg claim amount by year</t>
  </si>
  <si>
    <t xml:space="preserve">Average of Gross inflation adjusted claim </t>
  </si>
  <si>
    <t>Average of Gross inflation adjusted claim</t>
  </si>
  <si>
    <t xml:space="preserve">Sum of Net inflation adjusted claim </t>
  </si>
  <si>
    <t>Claim summary</t>
  </si>
  <si>
    <t>Avg claim cost by claim type</t>
  </si>
  <si>
    <t>Cause of loss summary</t>
  </si>
  <si>
    <t>Avg claim cost by cause of loss</t>
  </si>
  <si>
    <t>No of claims per year</t>
  </si>
  <si>
    <t>Count of Cause of Loss</t>
  </si>
  <si>
    <t xml:space="preserve">Sum of Capped net adjusted incurred claim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</si>
</sst>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quot;$&quot;#,##0_);[Red]\(&quot;$&quot;#,##0\)"/>
    <numFmt numFmtId="165" formatCode="_(&quot;$&quot;* #,##0.00_);_(&quot;$&quot;* \(#,##0.00\);_(&quot;$&quot;* &quot;-&quot;??_);_(@_)"/>
    <numFmt numFmtId="166" formatCode="&quot;$&quot;#,##0.00"/>
    <numFmt numFmtId="167" formatCode="_-* #,##0.0_-;\-* #,##0.0_-;_-* &quot;-&quot;??_-;_-@_-"/>
    <numFmt numFmtId="168" formatCode="_-* #,##0_-;\-* #,##0_-;_-* &quot;-&quot;??_-;_-@_-"/>
    <numFmt numFmtId="169" formatCode="_-* #,##0.000000000_-;\-* #,##0.000000000_-;_-* &quot;-&quot;??_-;_-@_-"/>
    <numFmt numFmtId="170" formatCode="[$$-409]#,##0"/>
    <numFmt numFmtId="171" formatCode="0.000000000"/>
  </numFmts>
  <fonts count="15" x14ac:knownFonts="1">
    <font>
      <sz val="12"/>
      <color theme="1"/>
      <name val="Aptos Narrow"/>
      <family val="2"/>
      <scheme val="minor"/>
    </font>
    <font>
      <sz val="12"/>
      <color theme="1"/>
      <name val="Aptos Narrow"/>
      <family val="2"/>
      <scheme val="minor"/>
    </font>
    <font>
      <b/>
      <sz val="12"/>
      <color theme="1"/>
      <name val="Aptos Narrow"/>
      <family val="2"/>
      <scheme val="minor"/>
    </font>
    <font>
      <b/>
      <sz val="12"/>
      <color theme="1"/>
      <name val="Aptos Narrow"/>
      <family val="2"/>
      <scheme val="minor"/>
    </font>
    <font>
      <b/>
      <sz val="13.5"/>
      <color theme="1"/>
      <name val="Aptos Narrow"/>
      <family val="2"/>
      <scheme val="minor"/>
    </font>
    <font>
      <sz val="12"/>
      <name val="Aptos Narrow"/>
      <family val="2"/>
      <scheme val="minor"/>
    </font>
    <font>
      <b/>
      <sz val="12"/>
      <color theme="1"/>
      <name val="Aptos Narrow"/>
      <family val="2"/>
      <scheme val="minor"/>
    </font>
    <font>
      <sz val="12"/>
      <color rgb="FF000000"/>
      <name val="Aptos Narrow"/>
      <family val="2"/>
      <scheme val="minor"/>
    </font>
    <font>
      <i/>
      <sz val="12"/>
      <color theme="1"/>
      <name val="Aptos Narrow"/>
      <family val="2"/>
      <scheme val="minor"/>
    </font>
    <font>
      <i/>
      <sz val="12"/>
      <color rgb="FF000000"/>
      <name val="Aptos Narrow"/>
      <family val="2"/>
      <scheme val="minor"/>
    </font>
    <font>
      <b/>
      <sz val="12"/>
      <color rgb="FF000000"/>
      <name val="Aptos Narrow"/>
      <family val="2"/>
      <scheme val="minor"/>
    </font>
    <font>
      <b/>
      <sz val="12"/>
      <color theme="3"/>
      <name val="Aptos Narrow"/>
      <family val="2"/>
      <scheme val="minor"/>
    </font>
    <font>
      <b/>
      <sz val="14"/>
      <color theme="3"/>
      <name val="Aptos Narrow"/>
      <family val="2"/>
      <scheme val="minor"/>
    </font>
    <font>
      <sz val="14"/>
      <color theme="3"/>
      <name val="Aptos Narrow"/>
      <family val="2"/>
      <scheme val="minor"/>
    </font>
    <font>
      <b/>
      <sz val="16"/>
      <color theme="3"/>
      <name val="Aptos Narrow"/>
      <family val="2"/>
      <scheme val="minor"/>
    </font>
  </fonts>
  <fills count="8">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F7C7AC"/>
        <bgColor rgb="FF000000"/>
      </patternFill>
    </fill>
    <fill>
      <patternFill patternType="solid">
        <fgColor theme="0" tint="-4.9989318521683403E-2"/>
        <bgColor indexed="64"/>
      </patternFill>
    </fill>
    <fill>
      <patternFill patternType="solid">
        <fgColor theme="2"/>
        <bgColor indexed="64"/>
      </patternFill>
    </fill>
  </fills>
  <borders count="2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
    <xf numFmtId="0" fontId="0" fillId="0" borderId="0"/>
    <xf numFmtId="165"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105">
    <xf numFmtId="0" fontId="0" fillId="0" borderId="0" xfId="0"/>
    <xf numFmtId="14" fontId="0" fillId="0" borderId="0" xfId="0" applyNumberFormat="1"/>
    <xf numFmtId="0" fontId="2" fillId="0" borderId="0" xfId="0" applyFont="1"/>
    <xf numFmtId="165" fontId="0" fillId="0" borderId="0" xfId="1" applyFont="1"/>
    <xf numFmtId="0" fontId="4" fillId="0" borderId="0" xfId="0" applyFont="1"/>
    <xf numFmtId="0" fontId="3" fillId="0" borderId="0" xfId="0" applyFont="1"/>
    <xf numFmtId="0" fontId="0" fillId="0" borderId="0" xfId="0" applyAlignment="1">
      <alignment horizontal="left"/>
    </xf>
    <xf numFmtId="166" fontId="0" fillId="0" borderId="0" xfId="0" applyNumberFormat="1"/>
    <xf numFmtId="166" fontId="2" fillId="0" borderId="0" xfId="0" applyNumberFormat="1" applyFont="1"/>
    <xf numFmtId="43" fontId="0" fillId="0" borderId="0" xfId="2" applyFont="1"/>
    <xf numFmtId="168" fontId="0" fillId="0" borderId="0" xfId="2" applyNumberFormat="1" applyFont="1"/>
    <xf numFmtId="43" fontId="0" fillId="0" borderId="0" xfId="0" applyNumberFormat="1"/>
    <xf numFmtId="170" fontId="0" fillId="0" borderId="0" xfId="3" applyNumberFormat="1" applyFont="1" applyFill="1"/>
    <xf numFmtId="171" fontId="0" fillId="0" borderId="0" xfId="0" applyNumberFormat="1"/>
    <xf numFmtId="170" fontId="0" fillId="0" borderId="0" xfId="0" applyNumberFormat="1" applyAlignment="1">
      <alignment horizontal="left"/>
    </xf>
    <xf numFmtId="169" fontId="0" fillId="0" borderId="0" xfId="0" applyNumberFormat="1" applyAlignment="1">
      <alignment horizontal="left"/>
    </xf>
    <xf numFmtId="43" fontId="0" fillId="0" borderId="0" xfId="2" applyFont="1" applyAlignment="1">
      <alignment horizontal="left"/>
    </xf>
    <xf numFmtId="167" fontId="5" fillId="0" borderId="0" xfId="2" applyNumberFormat="1" applyFont="1" applyFill="1"/>
    <xf numFmtId="0" fontId="2" fillId="0" borderId="0" xfId="0" applyFont="1" applyAlignment="1">
      <alignment horizontal="left"/>
    </xf>
    <xf numFmtId="166" fontId="2" fillId="0" borderId="0" xfId="0" applyNumberFormat="1" applyFont="1" applyAlignment="1">
      <alignment horizontal="left"/>
    </xf>
    <xf numFmtId="0" fontId="6" fillId="0" borderId="0" xfId="0" applyFont="1" applyAlignment="1">
      <alignment horizontal="left"/>
    </xf>
    <xf numFmtId="0" fontId="0" fillId="3" borderId="0" xfId="0" applyFill="1"/>
    <xf numFmtId="0" fontId="7" fillId="5" borderId="0" xfId="0" applyFont="1" applyFill="1"/>
    <xf numFmtId="165" fontId="0" fillId="6" borderId="0" xfId="1" applyFont="1" applyFill="1"/>
    <xf numFmtId="165" fontId="0" fillId="7" borderId="0" xfId="1" applyFont="1" applyFill="1"/>
    <xf numFmtId="0" fontId="0" fillId="7" borderId="0" xfId="0" applyFill="1"/>
    <xf numFmtId="165" fontId="0" fillId="7" borderId="0" xfId="0" applyNumberFormat="1" applyFill="1"/>
    <xf numFmtId="0" fontId="7" fillId="5" borderId="0" xfId="0" applyFont="1" applyFill="1" applyAlignment="1">
      <alignment horizontal="center"/>
    </xf>
    <xf numFmtId="0" fontId="0" fillId="0" borderId="2" xfId="0" applyBorder="1"/>
    <xf numFmtId="43" fontId="0" fillId="0" borderId="2" xfId="2" applyFont="1" applyBorder="1" applyAlignment="1">
      <alignment horizontal="right"/>
    </xf>
    <xf numFmtId="0" fontId="0" fillId="2" borderId="3" xfId="0" applyFill="1" applyBorder="1"/>
    <xf numFmtId="0" fontId="0" fillId="2" borderId="5" xfId="0" applyFill="1" applyBorder="1"/>
    <xf numFmtId="0" fontId="0" fillId="0" borderId="7" xfId="0" applyBorder="1"/>
    <xf numFmtId="0" fontId="0" fillId="2" borderId="8" xfId="0" applyFill="1" applyBorder="1"/>
    <xf numFmtId="0" fontId="0" fillId="6" borderId="0" xfId="0" applyFill="1"/>
    <xf numFmtId="0" fontId="2" fillId="3" borderId="0" xfId="0" applyFont="1" applyFill="1"/>
    <xf numFmtId="0" fontId="3" fillId="0" borderId="1" xfId="0" applyFont="1" applyBorder="1"/>
    <xf numFmtId="0" fontId="3" fillId="0" borderId="4" xfId="0" applyFont="1" applyBorder="1"/>
    <xf numFmtId="0" fontId="3" fillId="0" borderId="6" xfId="0" applyFont="1" applyBorder="1"/>
    <xf numFmtId="0" fontId="2" fillId="0" borderId="9" xfId="0" applyFont="1" applyBorder="1"/>
    <xf numFmtId="0" fontId="2" fillId="0" borderId="10" xfId="0" applyFont="1" applyBorder="1"/>
    <xf numFmtId="0" fontId="2" fillId="0" borderId="1" xfId="0" applyFont="1" applyBorder="1" applyAlignment="1">
      <alignment horizontal="left"/>
    </xf>
    <xf numFmtId="0" fontId="2" fillId="0" borderId="3" xfId="0" applyFont="1" applyBorder="1"/>
    <xf numFmtId="0" fontId="2" fillId="0" borderId="4" xfId="0" applyFont="1" applyBorder="1" applyAlignment="1">
      <alignment horizontal="left"/>
    </xf>
    <xf numFmtId="168" fontId="0" fillId="0" borderId="5" xfId="2" applyNumberFormat="1" applyFont="1" applyBorder="1"/>
    <xf numFmtId="0" fontId="2" fillId="0" borderId="6" xfId="0" applyFont="1" applyBorder="1" applyAlignment="1">
      <alignment horizontal="left"/>
    </xf>
    <xf numFmtId="168" fontId="0" fillId="0" borderId="8" xfId="2" applyNumberFormat="1" applyFont="1" applyBorder="1"/>
    <xf numFmtId="168" fontId="0" fillId="0" borderId="0" xfId="2" applyNumberFormat="1" applyFont="1" applyBorder="1"/>
    <xf numFmtId="0" fontId="2" fillId="0" borderId="9" xfId="0" applyFont="1" applyBorder="1" applyAlignment="1">
      <alignment horizontal="left"/>
    </xf>
    <xf numFmtId="43" fontId="0" fillId="0" borderId="10" xfId="2" applyFont="1" applyBorder="1" applyAlignment="1">
      <alignment horizontal="left"/>
    </xf>
    <xf numFmtId="0" fontId="0" fillId="0" borderId="3" xfId="0" applyBorder="1"/>
    <xf numFmtId="0" fontId="0" fillId="0" borderId="4" xfId="0" applyBorder="1" applyAlignment="1">
      <alignment horizontal="left"/>
    </xf>
    <xf numFmtId="169" fontId="0" fillId="0" borderId="5" xfId="2" applyNumberFormat="1" applyFont="1" applyBorder="1"/>
    <xf numFmtId="0" fontId="0" fillId="0" borderId="6" xfId="0" applyBorder="1" applyAlignment="1">
      <alignment horizontal="left"/>
    </xf>
    <xf numFmtId="168" fontId="0" fillId="0" borderId="7" xfId="2" applyNumberFormat="1" applyFont="1" applyBorder="1"/>
    <xf numFmtId="0" fontId="0" fillId="6" borderId="0" xfId="0" applyFill="1" applyAlignment="1">
      <alignment horizontal="left"/>
    </xf>
    <xf numFmtId="0" fontId="2" fillId="0" borderId="2" xfId="0" applyFont="1" applyBorder="1"/>
    <xf numFmtId="0" fontId="6" fillId="0" borderId="3" xfId="0" applyFont="1" applyBorder="1" applyAlignment="1">
      <alignment horizontal="left"/>
    </xf>
    <xf numFmtId="170" fontId="0" fillId="6" borderId="0" xfId="0" applyNumberFormat="1" applyFill="1" applyAlignment="1">
      <alignment horizontal="left"/>
    </xf>
    <xf numFmtId="169" fontId="0" fillId="6" borderId="0" xfId="0" applyNumberFormat="1" applyFill="1" applyAlignment="1">
      <alignment horizontal="left"/>
    </xf>
    <xf numFmtId="166" fontId="0" fillId="6" borderId="5" xfId="0" applyNumberFormat="1" applyFill="1" applyBorder="1"/>
    <xf numFmtId="169" fontId="0" fillId="6" borderId="0" xfId="0" applyNumberFormat="1" applyFill="1" applyAlignment="1">
      <alignment horizontal="right"/>
    </xf>
    <xf numFmtId="170" fontId="0" fillId="6" borderId="0" xfId="0" applyNumberFormat="1" applyFill="1" applyAlignment="1">
      <alignment horizontal="right"/>
    </xf>
    <xf numFmtId="0" fontId="7" fillId="0" borderId="0" xfId="0" applyFont="1"/>
    <xf numFmtId="0" fontId="7" fillId="0" borderId="0" xfId="0" applyFont="1" applyAlignment="1">
      <alignment horizontal="left"/>
    </xf>
    <xf numFmtId="166" fontId="2" fillId="6" borderId="0" xfId="0" applyNumberFormat="1" applyFont="1" applyFill="1" applyAlignment="1">
      <alignment horizontal="left"/>
    </xf>
    <xf numFmtId="166" fontId="6" fillId="6" borderId="0" xfId="0" applyNumberFormat="1" applyFont="1" applyFill="1" applyAlignment="1">
      <alignment horizontal="left"/>
    </xf>
    <xf numFmtId="0" fontId="10" fillId="5" borderId="0" xfId="0" applyFont="1" applyFill="1" applyAlignment="1">
      <alignment horizontal="center"/>
    </xf>
    <xf numFmtId="166" fontId="2" fillId="6" borderId="0" xfId="0" applyNumberFormat="1" applyFont="1" applyFill="1"/>
    <xf numFmtId="166" fontId="0" fillId="6" borderId="0" xfId="0" applyNumberFormat="1" applyFill="1"/>
    <xf numFmtId="0" fontId="3" fillId="6" borderId="0" xfId="0" applyFont="1" applyFill="1"/>
    <xf numFmtId="0" fontId="2" fillId="0" borderId="0" xfId="0" applyFont="1" applyAlignment="1">
      <alignment wrapText="1"/>
    </xf>
    <xf numFmtId="165" fontId="2" fillId="0" borderId="0" xfId="1" applyFont="1" applyAlignment="1">
      <alignment wrapText="1"/>
    </xf>
    <xf numFmtId="165" fontId="2" fillId="0" borderId="0" xfId="1" applyFont="1" applyFill="1" applyAlignment="1">
      <alignment wrapText="1"/>
    </xf>
    <xf numFmtId="164" fontId="3" fillId="0" borderId="0" xfId="0" applyNumberFormat="1" applyFont="1"/>
    <xf numFmtId="165" fontId="0" fillId="0" borderId="0" xfId="1" applyFont="1" applyFill="1"/>
    <xf numFmtId="165" fontId="11" fillId="6" borderId="0" xfId="1" applyFont="1" applyFill="1" applyAlignment="1">
      <alignment wrapText="1"/>
    </xf>
    <xf numFmtId="165" fontId="11" fillId="7" borderId="0" xfId="1" applyFont="1" applyFill="1" applyAlignment="1">
      <alignment wrapText="1"/>
    </xf>
    <xf numFmtId="0" fontId="11" fillId="7" borderId="0" xfId="0" applyFont="1" applyFill="1" applyAlignment="1">
      <alignment wrapText="1"/>
    </xf>
    <xf numFmtId="165" fontId="0" fillId="0" borderId="0" xfId="0" applyNumberFormat="1"/>
    <xf numFmtId="0" fontId="0" fillId="0" borderId="0" xfId="0" pivotButton="1"/>
    <xf numFmtId="0" fontId="12" fillId="0" borderId="0" xfId="0" applyFont="1"/>
    <xf numFmtId="0" fontId="13" fillId="0" borderId="0" xfId="0" applyFont="1"/>
    <xf numFmtId="0" fontId="13" fillId="7" borderId="0" xfId="0" applyFont="1" applyFill="1"/>
    <xf numFmtId="0" fontId="14" fillId="0" borderId="0" xfId="0" applyFont="1" applyAlignment="1">
      <alignment horizontal="left"/>
    </xf>
    <xf numFmtId="0" fontId="12" fillId="0" borderId="0" xfId="0" applyFont="1" applyAlignment="1">
      <alignment horizontal="left"/>
    </xf>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10" fillId="5" borderId="0" xfId="0" applyFont="1" applyFill="1" applyAlignment="1">
      <alignment horizontal="center" vertical="center"/>
    </xf>
    <xf numFmtId="0" fontId="7" fillId="5" borderId="0" xfId="0" applyFont="1" applyFill="1" applyAlignment="1">
      <alignment horizontal="center" wrapText="1"/>
    </xf>
    <xf numFmtId="0" fontId="7" fillId="5" borderId="0" xfId="0" applyFont="1" applyFill="1" applyAlignment="1">
      <alignment horizontal="left"/>
    </xf>
    <xf numFmtId="0" fontId="7" fillId="5" borderId="0" xfId="0" applyFont="1" applyFill="1" applyAlignment="1">
      <alignment horizontal="center" vertical="center"/>
    </xf>
    <xf numFmtId="0" fontId="7" fillId="5" borderId="0" xfId="0" applyFont="1" applyFill="1" applyAlignment="1">
      <alignment horizontal="left" vertical="top" wrapText="1"/>
    </xf>
    <xf numFmtId="0" fontId="7" fillId="5" borderId="7" xfId="0" applyFont="1" applyFill="1" applyBorder="1" applyAlignment="1">
      <alignment horizontal="center" vertical="center"/>
    </xf>
    <xf numFmtId="0" fontId="7" fillId="5" borderId="0" xfId="0" applyFont="1" applyFill="1" applyAlignment="1">
      <alignment horizontal="left" vertical="center" wrapText="1"/>
    </xf>
    <xf numFmtId="0" fontId="2" fillId="4" borderId="0" xfId="0" applyFont="1" applyFill="1" applyAlignment="1">
      <alignment horizontal="center" vertical="center"/>
    </xf>
    <xf numFmtId="0" fontId="0" fillId="4" borderId="0" xfId="0" applyFill="1" applyAlignment="1">
      <alignment horizontal="left" vertical="top" wrapText="1"/>
    </xf>
    <xf numFmtId="0" fontId="0" fillId="0" borderId="0" xfId="0"/>
  </cellXfs>
  <cellStyles count="4">
    <cellStyle name="Comma" xfId="2" builtinId="3"/>
    <cellStyle name="Currency" xfId="1" builtinId="4"/>
    <cellStyle name="Normal" xfId="0" builtinId="0"/>
    <cellStyle name="Percent" xfId="3" builtinId="5"/>
  </cellStyles>
  <dxfs count="15">
    <dxf>
      <font>
        <b/>
        <i val="0"/>
        <strike val="0"/>
        <condense val="0"/>
        <extend val="0"/>
        <outline val="0"/>
        <shadow val="0"/>
        <u val="none"/>
        <vertAlign val="baseline"/>
        <sz val="12"/>
        <color theme="1"/>
        <name val="Aptos Narrow"/>
        <family val="2"/>
        <scheme val="minor"/>
      </font>
    </dxf>
    <dxf>
      <numFmt numFmtId="165" formatCode="_(&quot;$&quot;* #,##0.00_);_(&quot;$&quot;* \(#,##0.00\);_(&quot;$&quot;* &quot;-&quot;??_);_(@_)"/>
      <fill>
        <patternFill patternType="solid">
          <fgColor indexed="64"/>
          <bgColor theme="2"/>
        </patternFill>
      </fill>
    </dxf>
    <dxf>
      <font>
        <b val="0"/>
        <i val="0"/>
        <strike val="0"/>
        <condense val="0"/>
        <extend val="0"/>
        <outline val="0"/>
        <shadow val="0"/>
        <u val="none"/>
        <vertAlign val="baseline"/>
        <sz val="12"/>
        <color theme="1"/>
        <name val="Aptos Narrow"/>
        <family val="2"/>
        <scheme val="minor"/>
      </font>
      <fill>
        <patternFill patternType="solid">
          <fgColor indexed="64"/>
          <bgColor theme="2"/>
        </patternFill>
      </fill>
    </dxf>
    <dxf>
      <font>
        <b val="0"/>
        <i val="0"/>
        <strike val="0"/>
        <condense val="0"/>
        <extend val="0"/>
        <outline val="0"/>
        <shadow val="0"/>
        <u val="none"/>
        <vertAlign val="baseline"/>
        <sz val="12"/>
        <color theme="1"/>
        <name val="Aptos Narrow"/>
        <family val="2"/>
        <scheme val="minor"/>
      </font>
      <fill>
        <patternFill patternType="solid">
          <fgColor indexed="64"/>
          <bgColor theme="2"/>
        </patternFill>
      </fill>
    </dxf>
    <dxf>
      <font>
        <b val="0"/>
        <i val="0"/>
        <strike val="0"/>
        <condense val="0"/>
        <extend val="0"/>
        <outline val="0"/>
        <shadow val="0"/>
        <u val="none"/>
        <vertAlign val="baseline"/>
        <sz val="12"/>
        <color theme="1"/>
        <name val="Aptos Narrow"/>
        <family val="2"/>
        <scheme val="minor"/>
      </font>
    </dxf>
    <dxf>
      <font>
        <b/>
        <i val="0"/>
        <strike val="0"/>
        <condense val="0"/>
        <extend val="0"/>
        <outline val="0"/>
        <shadow val="0"/>
        <u val="none"/>
        <vertAlign val="baseline"/>
        <sz val="12"/>
        <color theme="1"/>
        <name val="Aptos Narrow"/>
        <family val="2"/>
        <scheme val="minor"/>
      </font>
      <numFmt numFmtId="164" formatCode="&quot;$&quot;#,##0_);[Red]\(&quot;$&quot;#,##0\)"/>
    </dxf>
    <dxf>
      <font>
        <b val="0"/>
        <i val="0"/>
        <strike val="0"/>
        <condense val="0"/>
        <extend val="0"/>
        <outline val="0"/>
        <shadow val="0"/>
        <u val="none"/>
        <vertAlign val="baseline"/>
        <sz val="12"/>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2"/>
        <color theme="1"/>
        <name val="Aptos Narrow"/>
        <family val="2"/>
        <scheme val="minor"/>
      </font>
    </dxf>
    <dxf>
      <numFmt numFmtId="19" formatCode="dd/mm/yyyy"/>
    </dxf>
    <dxf>
      <font>
        <b/>
        <i val="0"/>
        <strike val="0"/>
        <condense val="0"/>
        <extend val="0"/>
        <outline val="0"/>
        <shadow val="0"/>
        <u val="none"/>
        <vertAlign val="baseline"/>
        <sz val="12"/>
        <color theme="1"/>
        <name val="Aptos Narrow"/>
        <family val="2"/>
        <scheme val="minor"/>
      </font>
      <fill>
        <patternFill patternType="solid">
          <fgColor indexed="64"/>
          <bgColor theme="2"/>
        </patternFill>
      </fill>
      <alignment horizontal="general" vertical="bottom" textRotation="0" wrapText="1" indent="0" justifyLastLine="0" shrinkToFit="0" readingOrder="0"/>
    </dxf>
    <dxf>
      <font>
        <color theme="3"/>
      </font>
    </dxf>
    <dxf>
      <font>
        <sz val="14"/>
      </font>
    </dxf>
    <dxf>
      <font>
        <color theme="3"/>
      </font>
    </dxf>
    <dxf>
      <font>
        <sz val="14"/>
      </font>
    </dxf>
    <dxf>
      <fill>
        <patternFill patternType="solid">
          <bgColor them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[Claims data-Task 2.xlsx]Claims data summary!PivotTable4</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Avg</a:t>
            </a:r>
            <a:r>
              <a:rPr lang="en-US" baseline="0"/>
              <a:t> gross claim per year</a:t>
            </a:r>
            <a:endParaRPr lang="en-US"/>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'Claims data summary'!$B$15</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'Claims data summary'!$A$16:$A$22</c:f>
              <c:strCache>
                <c:ptCount val="6"/>
                <c:pt idx="0">
                  <c:v>2018</c:v>
                </c:pt>
                <c:pt idx="1">
                  <c:v>2019</c:v>
                </c:pt>
                <c:pt idx="2">
                  <c:v>2020</c:v>
                </c:pt>
                <c:pt idx="3">
                  <c:v>2021</c:v>
                </c:pt>
                <c:pt idx="4">
                  <c:v>2022</c:v>
                </c:pt>
                <c:pt idx="5">
                  <c:v>2023</c:v>
                </c:pt>
              </c:strCache>
            </c:strRef>
          </c:cat>
          <c:val>
            <c:numRef>
              <c:f>'Claims data summary'!$B$16:$B$22</c:f>
              <c:numCache>
                <c:formatCode>_("$"* #,##0.00_);_("$"* \(#,##0.00\);_("$"* "-"??_);_(@_)</c:formatCode>
                <c:ptCount val="6"/>
                <c:pt idx="0">
                  <c:v>643510.46001395152</c:v>
                </c:pt>
                <c:pt idx="1">
                  <c:v>607077.46600304893</c:v>
                </c:pt>
                <c:pt idx="2">
                  <c:v>600236.34687121888</c:v>
                </c:pt>
                <c:pt idx="3">
                  <c:v>596316.90501512995</c:v>
                </c:pt>
                <c:pt idx="4">
                  <c:v>881240.56883400003</c:v>
                </c:pt>
                <c:pt idx="5">
                  <c:v>464505.9855500001</c:v>
                </c:pt>
              </c:numCache>
            </c:numRef>
          </c:val>
          <c:extLst>
            <c:ext xmlns:c16="http://schemas.microsoft.com/office/drawing/2014/chart" uri="{C3380CC4-5D6E-409C-BE32-E72D297353CC}">
              <c16:uniqueId val="{00000000-D7D4-48D7-9CD2-A11850A3E2E7}"/>
            </c:ext>
          </c:extLst>
        </c:ser>
        <c:dLbls>
          <c:dLblPos val="inEnd"/>
          <c:showLegendKey val="0"/>
          <c:showVal val="1"/>
          <c:showCatName val="0"/>
          <c:showSerName val="0"/>
          <c:showPercent val="0"/>
          <c:showBubbleSize val="0"/>
        </c:dLbls>
        <c:gapWidth val="41"/>
        <c:axId val="723898959"/>
        <c:axId val="723899439"/>
      </c:barChart>
      <c:catAx>
        <c:axId val="7238989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KE"/>
          </a:p>
        </c:txPr>
        <c:crossAx val="723899439"/>
        <c:crosses val="autoZero"/>
        <c:auto val="1"/>
        <c:lblAlgn val="ctr"/>
        <c:lblOffset val="100"/>
        <c:noMultiLvlLbl val="0"/>
      </c:catAx>
      <c:valAx>
        <c:axId val="723899439"/>
        <c:scaling>
          <c:orientation val="minMax"/>
        </c:scaling>
        <c:delete val="1"/>
        <c:axPos val="l"/>
        <c:numFmt formatCode="_(&quot;$&quot;* #,##0.00_);_(&quot;$&quot;* \(#,##0.00\);_(&quot;$&quot;* &quot;-&quot;??_);_(@_)" sourceLinked="1"/>
        <c:majorTickMark val="none"/>
        <c:minorTickMark val="none"/>
        <c:tickLblPos val="nextTo"/>
        <c:crossAx val="723898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[Claims data-Task 2.xlsx]Claims data summary!PivotTable5</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Total claim</a:t>
            </a:r>
            <a:r>
              <a:rPr lang="en-US" baseline="0"/>
              <a:t> cost per claim type</a:t>
            </a:r>
            <a:endParaRPr lang="en-US"/>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'Claims data summary'!$B$26</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'Claims data summary'!$A$27:$A$32</c:f>
              <c:strCache>
                <c:ptCount val="5"/>
                <c:pt idx="0">
                  <c:v>Cargo Liability</c:v>
                </c:pt>
                <c:pt idx="1">
                  <c:v>Collision Liability</c:v>
                </c:pt>
                <c:pt idx="2">
                  <c:v>Damage to Other Vessels</c:v>
                </c:pt>
                <c:pt idx="3">
                  <c:v>Environmental Pollution</c:v>
                </c:pt>
                <c:pt idx="4">
                  <c:v>Injury to Third Parties</c:v>
                </c:pt>
              </c:strCache>
            </c:strRef>
          </c:cat>
          <c:val>
            <c:numRef>
              <c:f>'Claims data summary'!$B$27:$B$32</c:f>
              <c:numCache>
                <c:formatCode>_("$"* #,##0.00_);_("$"* \(#,##0.00\);_("$"* "-"??_);_(@_)</c:formatCode>
                <c:ptCount val="5"/>
                <c:pt idx="0">
                  <c:v>10604640.43554261</c:v>
                </c:pt>
                <c:pt idx="1">
                  <c:v>11495061.073478078</c:v>
                </c:pt>
                <c:pt idx="2">
                  <c:v>11944680.002249414</c:v>
                </c:pt>
                <c:pt idx="3">
                  <c:v>18039390.484396495</c:v>
                </c:pt>
                <c:pt idx="4">
                  <c:v>7892047.762849384</c:v>
                </c:pt>
              </c:numCache>
            </c:numRef>
          </c:val>
          <c:extLst>
            <c:ext xmlns:c16="http://schemas.microsoft.com/office/drawing/2014/chart" uri="{C3380CC4-5D6E-409C-BE32-E72D297353CC}">
              <c16:uniqueId val="{00000000-9CE5-4C1D-8652-B9FB99EBBE39}"/>
            </c:ext>
          </c:extLst>
        </c:ser>
        <c:dLbls>
          <c:dLblPos val="inEnd"/>
          <c:showLegendKey val="0"/>
          <c:showVal val="1"/>
          <c:showCatName val="0"/>
          <c:showSerName val="0"/>
          <c:showPercent val="0"/>
          <c:showBubbleSize val="0"/>
        </c:dLbls>
        <c:gapWidth val="41"/>
        <c:axId val="1278229312"/>
        <c:axId val="1278230752"/>
      </c:barChart>
      <c:catAx>
        <c:axId val="1278229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KE"/>
          </a:p>
        </c:txPr>
        <c:crossAx val="1278230752"/>
        <c:crosses val="autoZero"/>
        <c:auto val="1"/>
        <c:lblAlgn val="ctr"/>
        <c:lblOffset val="100"/>
        <c:noMultiLvlLbl val="0"/>
      </c:catAx>
      <c:valAx>
        <c:axId val="1278230752"/>
        <c:scaling>
          <c:orientation val="minMax"/>
        </c:scaling>
        <c:delete val="1"/>
        <c:axPos val="l"/>
        <c:numFmt formatCode="_(&quot;$&quot;* #,##0.00_);_(&quot;$&quot;* \(#,##0.00\);_(&quot;$&quot;* &quot;-&quot;??_);_(@_)" sourceLinked="1"/>
        <c:majorTickMark val="none"/>
        <c:minorTickMark val="none"/>
        <c:tickLblPos val="nextTo"/>
        <c:crossAx val="127822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390525</xdr:colOff>
      <xdr:row>0</xdr:row>
      <xdr:rowOff>190500</xdr:rowOff>
    </xdr:from>
    <xdr:to>
      <xdr:col>9</xdr:col>
      <xdr:colOff>339725</xdr:colOff>
      <xdr:row>14</xdr:row>
      <xdr:rowOff>88900</xdr:rowOff>
    </xdr:to>
    <xdr:graphicFrame macro="">
      <xdr:nvGraphicFramePr>
        <xdr:cNvPr id="2" name="Chart 1">
          <a:extLst>
            <a:ext uri="{FF2B5EF4-FFF2-40B4-BE49-F238E27FC236}">
              <a16:creationId xmlns:a16="http://schemas.microsoft.com/office/drawing/2014/main" id="{6BF0EDD2-4E86-FA4D-86A6-F8B0D6092E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xdr:col>
      <xdr:colOff>292100</xdr:colOff>
      <xdr:row>15</xdr:row>
      <xdr:rowOff>12700</xdr:rowOff>
    </xdr:from>
    <xdr:ext cx="4883150" cy="609013"/>
    <xdr:sp macro="" textlink="">
      <xdr:nvSpPr>
        <xdr:cNvPr id="3" name="TextBox 2">
          <a:extLst>
            <a:ext uri="{FF2B5EF4-FFF2-40B4-BE49-F238E27FC236}">
              <a16:creationId xmlns:a16="http://schemas.microsoft.com/office/drawing/2014/main" id="{319CD884-74FE-E662-D102-0B0AA2AD3A70}"/>
            </a:ext>
          </a:extLst>
        </xdr:cNvPr>
        <xdr:cNvSpPr txBox="1"/>
      </xdr:nvSpPr>
      <xdr:spPr>
        <a:xfrm>
          <a:off x="8223250" y="3060700"/>
          <a:ext cx="4883150"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a:t>Average claim amounts stayed fairly steady between 2018–2021 (around 600k). In 2022, there was a sharp increase to 881k, then in 2023 the average dropped down to 464k.</a:t>
          </a:r>
          <a:endParaRPr lang="en-KE" sz="1100"/>
        </a:p>
      </xdr:txBody>
    </xdr:sp>
    <xdr:clientData/>
  </xdr:oneCellAnchor>
  <xdr:twoCellAnchor>
    <xdr:from>
      <xdr:col>2</xdr:col>
      <xdr:colOff>238125</xdr:colOff>
      <xdr:row>18</xdr:row>
      <xdr:rowOff>19050</xdr:rowOff>
    </xdr:from>
    <xdr:to>
      <xdr:col>9</xdr:col>
      <xdr:colOff>187325</xdr:colOff>
      <xdr:row>31</xdr:row>
      <xdr:rowOff>120650</xdr:rowOff>
    </xdr:to>
    <xdr:graphicFrame macro="">
      <xdr:nvGraphicFramePr>
        <xdr:cNvPr id="4" name="Chart 3">
          <a:extLst>
            <a:ext uri="{FF2B5EF4-FFF2-40B4-BE49-F238E27FC236}">
              <a16:creationId xmlns:a16="http://schemas.microsoft.com/office/drawing/2014/main" id="{D8E6211D-7A20-C114-1358-426C36EE60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2</xdr:col>
      <xdr:colOff>95251</xdr:colOff>
      <xdr:row>32</xdr:row>
      <xdr:rowOff>44450</xdr:rowOff>
    </xdr:from>
    <xdr:ext cx="4654550" cy="436786"/>
    <xdr:sp macro="" textlink="">
      <xdr:nvSpPr>
        <xdr:cNvPr id="5" name="TextBox 4">
          <a:extLst>
            <a:ext uri="{FF2B5EF4-FFF2-40B4-BE49-F238E27FC236}">
              <a16:creationId xmlns:a16="http://schemas.microsoft.com/office/drawing/2014/main" id="{5BDDD30C-D4A8-8687-FD60-A3A5D95D8BE7}"/>
            </a:ext>
          </a:extLst>
        </xdr:cNvPr>
        <xdr:cNvSpPr txBox="1"/>
      </xdr:nvSpPr>
      <xdr:spPr>
        <a:xfrm>
          <a:off x="9182101" y="6546850"/>
          <a:ext cx="465455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Loss caused by environmental pollution has the highest claim than all the other claim types</a:t>
          </a:r>
          <a:endParaRPr lang="en-KE"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101600</xdr:colOff>
      <xdr:row>1</xdr:row>
      <xdr:rowOff>50800</xdr:rowOff>
    </xdr:from>
    <xdr:ext cx="7696200" cy="21666200"/>
    <xdr:sp macro="" textlink="">
      <xdr:nvSpPr>
        <xdr:cNvPr id="2" name="TextBox 1">
          <a:extLst>
            <a:ext uri="{FF2B5EF4-FFF2-40B4-BE49-F238E27FC236}">
              <a16:creationId xmlns:a16="http://schemas.microsoft.com/office/drawing/2014/main" id="{22A03F87-E601-D63A-1E54-C83FB70F13C0}"/>
            </a:ext>
          </a:extLst>
        </xdr:cNvPr>
        <xdr:cNvSpPr txBox="1"/>
      </xdr:nvSpPr>
      <xdr:spPr>
        <a:xfrm>
          <a:off x="927100" y="254000"/>
          <a:ext cx="7696200" cy="21666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br>
            <a:rPr lang="en-US"/>
          </a:br>
          <a:endParaRPr lang="en-US"/>
        </a:p>
        <a:p>
          <a:r>
            <a:rPr lang="en-US" b="1"/>
            <a:t>Executive Summary</a:t>
          </a:r>
          <a:br>
            <a:rPr lang="en-US"/>
          </a:br>
          <a:r>
            <a:rPr lang="en-US"/>
            <a:t>This report assesses the pricing adequacy for [insert line of business, e.g., Marine Liability Insurance] using claims data from the period </a:t>
          </a:r>
          <a:r>
            <a:rPr lang="en-US" b="1"/>
            <a:t>1 January – 31 Dec 2018</a:t>
          </a:r>
          <a:r>
            <a:rPr lang="en-US" b="1" baseline="0"/>
            <a:t> - 2023</a:t>
          </a:r>
          <a:r>
            <a:rPr lang="en-US"/>
            <a:t>. The analysis evaluates key pricing elements, including claim frequency, claim severity, and adjustments for large loss events and inflation. The purpose of this analysis is to derive an appropriate premium rate that reflects the underlying risk exposure while accounting for expenses, profit margin, commission, and large loss loading.</a:t>
          </a:r>
        </a:p>
        <a:p>
          <a:r>
            <a:rPr lang="en-US" b="1"/>
            <a:t>Data Overview</a:t>
          </a:r>
          <a:br>
            <a:rPr lang="en-US"/>
          </a:br>
          <a:r>
            <a:rPr lang="en-US"/>
            <a:t>The dataset comprises </a:t>
          </a:r>
          <a:r>
            <a:rPr lang="en-US" b="1"/>
            <a:t>100 claims</a:t>
          </a:r>
          <a:r>
            <a:rPr lang="en-US"/>
            <a:t>, including details on claim type, policy limits, deductibles, and settlement status. The claims vary in severity, with a mix of small and high-value losses. Key variables examined include claim count, incurred loss amounts, and exposure measures.</a:t>
          </a:r>
        </a:p>
        <a:p>
          <a:r>
            <a:rPr lang="en-US" b="1"/>
            <a:t>Exploratory Data Analysis (EDA)</a:t>
          </a:r>
          <a:br>
            <a:rPr lang="en-US"/>
          </a:br>
          <a:r>
            <a:rPr lang="en-US"/>
            <a:t>Analysis of the dataset shows that environmental pollution represents the majority of claims, accounting for approximately </a:t>
          </a:r>
          <a:r>
            <a:rPr lang="en-US" b="1"/>
            <a:t>30%</a:t>
          </a:r>
          <a:r>
            <a:rPr lang="en-US"/>
            <a:t> of total claims. Severity distribution is skewed by several high-value claims, with one notable large loss exceeding </a:t>
          </a:r>
          <a:r>
            <a:rPr lang="en-US" b="1"/>
            <a:t>5</a:t>
          </a:r>
          <a:r>
            <a:rPr lang="en-US" b="1" baseline="0"/>
            <a:t> million</a:t>
          </a:r>
          <a:r>
            <a:rPr lang="en-US"/>
            <a:t>. Claim frequency trends have remained relatively stable over time.</a:t>
          </a:r>
        </a:p>
        <a:p>
          <a:r>
            <a:rPr lang="en-US" b="1"/>
            <a:t>Risk Assessment</a:t>
          </a:r>
          <a:br>
            <a:rPr lang="en-US"/>
          </a:br>
          <a:r>
            <a:rPr lang="en-US"/>
            <a:t>Historical claims experience indicates that </a:t>
          </a:r>
          <a:r>
            <a:rPr lang="en-US" b="1"/>
            <a:t>environmental</a:t>
          </a:r>
          <a:r>
            <a:rPr lang="en-US" b="1" baseline="0"/>
            <a:t> pollution</a:t>
          </a:r>
          <a:r>
            <a:rPr lang="en-US"/>
            <a:t> has the highest loss severity due</a:t>
          </a:r>
          <a:r>
            <a:rPr lang="en-US" baseline="0"/>
            <a:t> to its high catastrophic losses due to unavoidable environmental factors such as weather</a:t>
          </a:r>
          <a:r>
            <a:rPr lang="en-US"/>
            <a:t>. Frequency trends highlight that</a:t>
          </a:r>
          <a:r>
            <a:rPr lang="en-US" baseline="0"/>
            <a:t> it</a:t>
          </a:r>
          <a:r>
            <a:rPr lang="en-US"/>
            <a:t> occurs most often,</a:t>
          </a:r>
          <a:r>
            <a:rPr lang="en-US" baseline="0"/>
            <a:t> and</a:t>
          </a:r>
          <a:r>
            <a:rPr lang="en-US"/>
            <a:t> location and cause of loss analysis confirm that severity is concentrated in the</a:t>
          </a:r>
          <a:r>
            <a:rPr lang="en-US" baseline="0"/>
            <a:t> pacific ocean</a:t>
          </a:r>
          <a:r>
            <a:rPr lang="en-US"/>
            <a:t>.</a:t>
          </a:r>
        </a:p>
        <a:p>
          <a:r>
            <a:rPr lang="en-US" b="1"/>
            <a:t>Premium Calculation by Year</a:t>
          </a:r>
          <a:br>
            <a:rPr lang="en-US"/>
          </a:br>
          <a:r>
            <a:rPr lang="en-US"/>
            <a:t>Premiums were derived based on calculated average frequency and average severity per claim. Using expected exposure for the upcoming year (</a:t>
          </a:r>
          <a:r>
            <a:rPr lang="en-US" b="1"/>
            <a:t>gross</a:t>
          </a:r>
          <a:r>
            <a:rPr lang="en-US" b="1" baseline="0"/>
            <a:t> tonnage expected 2024 is 40,000,000$</a:t>
          </a:r>
          <a:r>
            <a:rPr lang="en-US"/>
            <a:t>), the risk premium was estimated as follows:</a:t>
          </a:r>
        </a:p>
        <a:p>
          <a:r>
            <a:rPr lang="en-US" b="1"/>
            <a:t>Average Frequency:</a:t>
          </a:r>
          <a:r>
            <a:rPr lang="en-US"/>
            <a:t> 0.000000380</a:t>
          </a:r>
        </a:p>
        <a:p>
          <a:r>
            <a:rPr lang="en-US" b="1"/>
            <a:t>Average Severity:</a:t>
          </a:r>
          <a:r>
            <a:rPr lang="en-US"/>
            <a:t> 552,226</a:t>
          </a:r>
        </a:p>
        <a:p>
          <a:r>
            <a:rPr lang="en-US" b="1"/>
            <a:t>2024 Expected Exposure:</a:t>
          </a:r>
          <a:r>
            <a:rPr lang="en-US"/>
            <a:t> 40,000,000</a:t>
          </a:r>
        </a:p>
        <a:p>
          <a:r>
            <a:rPr lang="en-US" b="1"/>
            <a:t>Risk Premium excl. large loss loading:</a:t>
          </a:r>
          <a:r>
            <a:rPr lang="en-US"/>
            <a:t> 8393835.2$</a:t>
          </a:r>
        </a:p>
        <a:p>
          <a:r>
            <a:rPr lang="en-US" b="1"/>
            <a:t>Risk Premium incl. large loss loading:</a:t>
          </a:r>
          <a:r>
            <a:rPr lang="en-US" b="1" baseline="0"/>
            <a:t> </a:t>
          </a:r>
          <a:r>
            <a:rPr lang="en-US" b="0" baseline="0"/>
            <a:t>8,647,914.10$</a:t>
          </a:r>
          <a:endParaRPr lang="en-US" b="0"/>
        </a:p>
        <a:p>
          <a:r>
            <a:rPr lang="en-US"/>
            <a:t>The final premium was obtained by applying the following loadings:</a:t>
          </a:r>
        </a:p>
        <a:p>
          <a:r>
            <a:rPr lang="en-US" b="1"/>
            <a:t>Expense Loading:</a:t>
          </a:r>
          <a:r>
            <a:rPr lang="en-US"/>
            <a:t> 30%</a:t>
          </a:r>
        </a:p>
        <a:p>
          <a:r>
            <a:rPr lang="en-US" b="1"/>
            <a:t>Profit Margin:</a:t>
          </a:r>
          <a:r>
            <a:rPr lang="en-US"/>
            <a:t> 10%</a:t>
          </a:r>
        </a:p>
        <a:p>
          <a:r>
            <a:rPr lang="en-US" b="1"/>
            <a:t>Commission:</a:t>
          </a:r>
          <a:r>
            <a:rPr lang="en-US"/>
            <a:t> 0%</a:t>
          </a:r>
        </a:p>
        <a:p>
          <a:r>
            <a:rPr lang="en-US" b="1"/>
            <a:t>Large Loss Loading:</a:t>
          </a:r>
          <a:r>
            <a:rPr lang="en-US"/>
            <a:t> 262,650$</a:t>
          </a:r>
        </a:p>
        <a:p>
          <a:r>
            <a:rPr lang="en-US"/>
            <a:t>This produced a final premium estimate of </a:t>
          </a:r>
          <a:r>
            <a:rPr lang="en-US" b="1"/>
            <a:t>12,366,517.17$</a:t>
          </a:r>
          <a:endParaRPr lang="en-US"/>
        </a:p>
        <a:p>
          <a:r>
            <a:rPr lang="en-US" b="1"/>
            <a:t>Sensitivity Analysis</a:t>
          </a:r>
          <a:br>
            <a:rPr lang="en-US"/>
          </a:br>
          <a:r>
            <a:rPr lang="en-US"/>
            <a:t>A sensitivity test was conducted to assess the impact of a 6% increase in claim severity. Under this scenario, average claim severity increased to </a:t>
          </a:r>
          <a:r>
            <a:rPr lang="en-US" b="1"/>
            <a:t>585,359.98$</a:t>
          </a:r>
          <a:r>
            <a:rPr lang="en-US" b="1" baseline="0"/>
            <a:t> </a:t>
          </a:r>
          <a:r>
            <a:rPr lang="en-US"/>
            <a:t>resulting in a higher pure premium. Recalculation of the final premium under this assumption led to an adjusted premium of </a:t>
          </a:r>
          <a:r>
            <a:rPr lang="en-US" b="1"/>
            <a:t>12,710,383.33$</a:t>
          </a:r>
          <a:r>
            <a:rPr lang="en-US" b="1" baseline="0"/>
            <a:t> </a:t>
          </a:r>
          <a:r>
            <a:rPr lang="en-US"/>
            <a:t>representing an increase of 2.7% compared to the base scenario. This highlights the portfolio’s sensitivity to shifts in claim severity.</a:t>
          </a:r>
        </a:p>
        <a:p>
          <a:r>
            <a:rPr lang="en-US" b="1"/>
            <a:t>Key Assumptions</a:t>
          </a:r>
          <a:br>
            <a:rPr lang="en-US"/>
          </a:br>
          <a:r>
            <a:rPr lang="en-US"/>
            <a:t>The analysis is based on several assumptions, including:</a:t>
          </a:r>
        </a:p>
        <a:p>
          <a:r>
            <a:rPr lang="en-US"/>
            <a:t>Claims development has been fully reported and no further IBNR adjustments were applied.</a:t>
          </a:r>
        </a:p>
        <a:p>
          <a:r>
            <a:rPr lang="en-US"/>
            <a:t>Expense loadings, commission, and profit margins were applied consistently with company standards.</a:t>
          </a:r>
        </a:p>
        <a:p>
          <a:r>
            <a:rPr lang="en-US"/>
            <a:t>Inflation was considered through severity trend adjustment.</a:t>
          </a:r>
        </a:p>
        <a:p>
          <a:r>
            <a:rPr lang="en-US"/>
            <a:t>Large loss loading was incorporated to stabilize against volatility from high-severity claims.</a:t>
          </a:r>
        </a:p>
        <a:p>
          <a:r>
            <a:rPr lang="en-US"/>
            <a:t>Exposure measure (e.g., gross tonnage) for 2024 is based on projected figures provided.</a:t>
          </a:r>
        </a:p>
        <a:p>
          <a:endParaRPr lang="en-US"/>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acy imbosa" refreshedDate="45897.673679629632" createdVersion="8" refreshedVersion="8" minRefreshableVersion="3" recordCount="100" xr:uid="{F1E60003-19F8-45A5-A518-EBBB63ED6961}">
  <cacheSource type="worksheet">
    <worksheetSource name="Claims_data"/>
  </cacheSource>
  <cacheFields count="22">
    <cacheField name="Claim ID" numFmtId="0">
      <sharedItems/>
    </cacheField>
    <cacheField name="Date of Claim" numFmtId="14">
      <sharedItems containsSemiMixedTypes="0" containsNonDate="0" containsDate="1" containsString="0" minDate="2018-03-19T00:00:00" maxDate="2023-08-02T00:00:00" count="98">
        <d v="2019-07-18T00:00:00"/>
        <d v="2020-05-27T00:00:00"/>
        <d v="2018-11-23T00:00:00"/>
        <d v="2021-01-05T00:00:00"/>
        <d v="2023-06-14T00:00:00"/>
        <d v="2019-04-29T00:00:00"/>
        <d v="2021-07-21T00:00:00"/>
        <d v="2022-03-18T00:00:00"/>
        <d v="2020-11-15T00:00:00"/>
        <d v="2018-06-07T00:00:00"/>
        <d v="2021-02-24T00:00:00"/>
        <d v="2020-12-15T00:00:00"/>
        <d v="2022-08-21T00:00:00"/>
        <d v="2023-01-11T00:00:00"/>
        <d v="2019-09-30T00:00:00"/>
        <d v="2018-07-13T00:00:00"/>
        <d v="2021-04-02T00:00:00"/>
        <d v="2019-06-25T00:00:00"/>
        <d v="2022-07-12T00:00:00"/>
        <d v="2020-03-20T00:00:00"/>
        <d v="2023-05-30T00:00:00"/>
        <d v="2021-12-03T00:00:00"/>
        <d v="2020-06-11T00:00:00"/>
        <d v="2019-08-18T00:00:00"/>
        <d v="2022-09-14T00:00:00"/>
        <d v="2018-05-03T00:00:00"/>
        <d v="2021-10-28T00:00:00"/>
        <d v="2020-04-16T00:00:00"/>
        <d v="2023-07-07T00:00:00"/>
        <d v="2019-01-22T00:00:00"/>
        <d v="2022-11-09T00:00:00"/>
        <d v="2020-08-13T00:00:00"/>
        <d v="2021-06-03T00:00:00"/>
        <d v="2019-11-16T00:00:00"/>
        <d v="2018-12-29T00:00:00"/>
        <d v="2021-08-15T00:00:00"/>
        <d v="2020-02-06T00:00:00"/>
        <d v="2023-04-11T00:00:00"/>
        <d v="2022-01-10T00:00:00"/>
        <d v="2019-09-03T00:00:00"/>
        <d v="2021-11-14T00:00:00"/>
        <d v="2023-02-28T00:00:00"/>
        <d v="2020-07-21T00:00:00"/>
        <d v="2018-03-19T00:00:00"/>
        <d v="2022-06-26T00:00:00"/>
        <d v="2021-10-03T00:00:00"/>
        <d v="2020-01-17T00:00:00"/>
        <d v="2019-04-05T00:00:00"/>
        <d v="2022-12-21T00:00:00"/>
        <d v="2021-02-03T00:00:00"/>
        <d v="2020-03-12T00:00:00"/>
        <d v="2023-07-08T00:00:00"/>
        <d v="2018-09-23T00:00:00"/>
        <d v="2019-11-15T00:00:00"/>
        <d v="2022-08-12T00:00:00"/>
        <d v="2021-05-23T00:00:00"/>
        <d v="2020-10-17T00:00:00"/>
        <d v="2023-03-13T00:00:00"/>
        <d v="2018-12-05T00:00:00"/>
        <d v="2019-06-29T00:00:00"/>
        <d v="2022-09-17T00:00:00"/>
        <d v="2021-01-11T00:00:00"/>
        <d v="2020-04-25T00:00:00"/>
        <d v="2019-03-19T00:00:00"/>
        <d v="2023-02-02T00:00:00"/>
        <d v="2022-07-11T00:00:00"/>
        <d v="2021-06-22T00:00:00"/>
        <d v="2020-01-27T00:00:00"/>
        <d v="2019-05-08T00:00:00"/>
        <d v="2023-04-19T00:00:00"/>
        <d v="2021-10-12T00:00:00"/>
        <d v="2022-03-28T00:00:00"/>
        <d v="2020-08-04T00:00:00"/>
        <d v="2018-06-17T00:00:00"/>
        <d v="2023-05-22T00:00:00"/>
        <d v="2021-07-06T00:00:00"/>
        <d v="2020-02-18T00:00:00"/>
        <d v="2023-03-07T00:00:00"/>
        <d v="2021-12-01T00:00:00"/>
        <d v="2020-06-05T00:00:00"/>
        <d v="2019-08-30T00:00:00"/>
        <d v="2018-11-22T00:00:00"/>
        <d v="2023-01-29T00:00:00"/>
        <d v="2021-04-10T00:00:00"/>
        <d v="2020-07-20T00:00:00"/>
        <d v="2019-02-24T00:00:00"/>
        <d v="2022-11-19T00:00:00"/>
        <d v="2021-08-11T00:00:00"/>
        <d v="2020-12-21T00:00:00"/>
        <d v="2022-05-23T00:00:00"/>
        <d v="2019-09-18T00:00:00"/>
        <d v="2023-07-02T00:00:00"/>
        <d v="2021-03-26T00:00:00"/>
        <d v="2020-02-29T00:00:00"/>
        <d v="2019-01-16T00:00:00"/>
        <d v="2022-04-14T00:00:00"/>
        <d v="2023-08-01T00:00:00"/>
        <d v="2022-12-27T00:00:00"/>
      </sharedItems>
      <fieldGroup par="21"/>
    </cacheField>
    <cacheField name="Type of Claim" numFmtId="0">
      <sharedItems count="5">
        <s v="Collision Liability"/>
        <s v="Cargo Liability"/>
        <s v="Damage to Other Vessels"/>
        <s v="Environmental Pollution"/>
        <s v="Injury to Third Parties"/>
      </sharedItems>
    </cacheField>
    <cacheField name="Claim Incurred ($)" numFmtId="165">
      <sharedItems containsSemiMixedTypes="0" containsString="0" containsNumber="1" minValue="87924.45" maxValue="5000000"/>
    </cacheField>
    <cacheField name="Claim Status" numFmtId="0">
      <sharedItems/>
    </cacheField>
    <cacheField name="Gross claim amount (HINT: Gross claim amount = Claim incurred + deductible)" numFmtId="165">
      <sharedItems containsSemiMixedTypes="0" containsString="0" containsNumber="1" minValue="87924.45" maxValue="5000000"/>
    </cacheField>
    <cacheField name="Policy Limits ($)" numFmtId="164">
      <sharedItems containsSemiMixedTypes="0" containsString="0" containsNumber="1" containsInteger="1" minValue="500000" maxValue="10000000"/>
    </cacheField>
    <cacheField name="Deductible ($)" numFmtId="165">
      <sharedItems containsSemiMixedTypes="0" containsString="0" containsNumber="1" minValue="1143.25" maxValue="48127.72"/>
    </cacheField>
    <cacheField name="Cause of Loss" numFmtId="0">
      <sharedItems count="4">
        <s v="Human Error"/>
        <s v="Technical Failure"/>
        <s v="Criminal Activity"/>
        <s v="Natural Disaster"/>
      </sharedItems>
    </cacheField>
    <cacheField name="Location" numFmtId="0">
      <sharedItems/>
    </cacheField>
    <cacheField name="Insured Party" numFmtId="0">
      <sharedItems/>
    </cacheField>
    <cacheField name="Gross Tonnage" numFmtId="0">
      <sharedItems containsSemiMixedTypes="0" containsString="0" containsNumber="1" containsInteger="1" minValue="5735" maxValue="117543"/>
    </cacheField>
    <cacheField name="Prior Claims History" numFmtId="0">
      <sharedItems containsSemiMixedTypes="0" containsString="0" containsNumber="1" containsInteger="1" minValue="0" maxValue="9"/>
    </cacheField>
    <cacheField name="Inflation Index" numFmtId="0">
      <sharedItems containsSemiMixedTypes="0" containsString="0" containsNumber="1" minValue="1.03" maxValue="1.2053063131199999"/>
    </cacheField>
    <cacheField name="Gross inflation adjusted claim (HINT: Gross inflation adjusted claim = gross claim * inflation index)" numFmtId="165">
      <sharedItems containsSemiMixedTypes="0" containsString="0" containsNumber="1" minValue="90562.183499999999" maxValue="5253000"/>
    </cacheField>
    <cacheField name="Net inflation adjusted claim  (HINT: Net inflation adjusted claim = Gross inflation adjusted claim - deductible)" numFmtId="165">
      <sharedItems containsSemiMixedTypes="0" containsString="0" containsNumber="1" minValue="52081.68220000001" maxValue="5233328.7862259997"/>
    </cacheField>
    <cacheField name="Capped net adjusted incurred claim (HINT: Capped net adjusted incurred claim = net inflation adjusted claim capped at policy limit)" numFmtId="165">
      <sharedItems containsSemiMixedTypes="0" containsString="0" containsNumber="1" minValue="52081.68220000001" maxValue="5233328.7862259997"/>
    </cacheField>
    <cacheField name="Attritional claim flag - (set equal to 1 if claim is less than 1m, otherwise 0)" numFmtId="0">
      <sharedItems containsSemiMixedTypes="0" containsString="0" containsNumber="1" containsInteger="1" minValue="0" maxValue="1"/>
    </cacheField>
    <cacheField name="Year" numFmtId="0">
      <sharedItems containsSemiMixedTypes="0" containsString="0" containsNumber="1" containsInteger="1" minValue="2018" maxValue="2023"/>
    </cacheField>
    <cacheField name="Months (Date of Claim)" numFmtId="0" databaseField="0">
      <fieldGroup base="1">
        <rangePr groupBy="months" startDate="2018-03-19T00:00:00" endDate="2023-08-02T00:00:00"/>
        <groupItems count="14">
          <s v="&lt;19/03/2018"/>
          <s v="Jan"/>
          <s v="Feb"/>
          <s v="Mar"/>
          <s v="Apr"/>
          <s v="May"/>
          <s v="Jun"/>
          <s v="Jul"/>
          <s v="Aug"/>
          <s v="Sept"/>
          <s v="Oct"/>
          <s v="Nov"/>
          <s v="Dec"/>
          <s v="&gt;02/08/2023"/>
        </groupItems>
      </fieldGroup>
    </cacheField>
    <cacheField name="Quarters (Date of Claim)" numFmtId="0" databaseField="0">
      <fieldGroup base="1">
        <rangePr groupBy="quarters" startDate="2018-03-19T00:00:00" endDate="2023-08-02T00:00:00"/>
        <groupItems count="6">
          <s v="&lt;19/03/2018"/>
          <s v="Qtr1"/>
          <s v="Qtr2"/>
          <s v="Qtr3"/>
          <s v="Qtr4"/>
          <s v="&gt;02/08/2023"/>
        </groupItems>
      </fieldGroup>
    </cacheField>
    <cacheField name="Years (Date of Claim)" numFmtId="0" databaseField="0">
      <fieldGroup base="1">
        <rangePr groupBy="years" startDate="2018-03-19T00:00:00" endDate="2023-08-02T00:00:00"/>
        <groupItems count="8">
          <s v="&lt;19/03/2018"/>
          <s v="2018"/>
          <s v="2019"/>
          <s v="2020"/>
          <s v="2021"/>
          <s v="2022"/>
          <s v="2023"/>
          <s v="&gt;02/08/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acy imbosa" refreshedDate="45897.811263078707" createdVersion="8" refreshedVersion="8" minRefreshableVersion="3" recordCount="17" xr:uid="{5B127081-C55F-4DB6-9F65-B65D277ABC38}">
  <cacheSource type="worksheet">
    <worksheetSource name="Table4"/>
  </cacheSource>
  <cacheFields count="19">
    <cacheField name="Claim ID" numFmtId="0">
      <sharedItems/>
    </cacheField>
    <cacheField name="Date of Claim" numFmtId="14">
      <sharedItems containsSemiMixedTypes="0" containsNonDate="0" containsDate="1" containsString="0" minDate="2022-01-10T00:00:00" maxDate="2022-12-28T00:00:00"/>
    </cacheField>
    <cacheField name="Type of Claim" numFmtId="0">
      <sharedItems/>
    </cacheField>
    <cacheField name="Claim Incurred ($)" numFmtId="0">
      <sharedItems containsSemiMixedTypes="0" containsString="0" containsNumber="1" minValue="158738.94" maxValue="5000000"/>
    </cacheField>
    <cacheField name="Claim Status" numFmtId="0">
      <sharedItems/>
    </cacheField>
    <cacheField name="Gross claim amount (HINT: Gross claim amount = Claim incurred + deductible)" numFmtId="0">
      <sharedItems containsSemiMixedTypes="0" containsString="0" containsNumber="1" minValue="158738.94" maxValue="5000000"/>
    </cacheField>
    <cacheField name="Policy Limits ($)" numFmtId="0">
      <sharedItems containsSemiMixedTypes="0" containsString="0" containsNumber="1" containsInteger="1" minValue="500000" maxValue="10000000"/>
    </cacheField>
    <cacheField name="Deductible ($)" numFmtId="0">
      <sharedItems containsSemiMixedTypes="0" containsString="0" containsNumber="1" minValue="18723.79" maxValue="38947.449999999997"/>
    </cacheField>
    <cacheField name="Cause of Loss" numFmtId="0">
      <sharedItems/>
    </cacheField>
    <cacheField name="Location" numFmtId="0">
      <sharedItems/>
    </cacheField>
    <cacheField name="Insured Party" numFmtId="0">
      <sharedItems/>
    </cacheField>
    <cacheField name="Gross Tonnage" numFmtId="0">
      <sharedItems containsSemiMixedTypes="0" containsString="0" containsNumber="1" containsInteger="1" minValue="14592" maxValue="105704"/>
    </cacheField>
    <cacheField name="Prior Claims History" numFmtId="0">
      <sharedItems containsSemiMixedTypes="0" containsString="0" containsNumber="1" containsInteger="1" minValue="0" maxValue="9"/>
    </cacheField>
    <cacheField name="Inflation Index" numFmtId="0">
      <sharedItems containsSemiMixedTypes="0" containsString="0" containsNumber="1" minValue="1.0506" maxValue="1.0506"/>
    </cacheField>
    <cacheField name="Gross inflation adjusted claim (HINT: Gross inflation adjusted claim = gross claim * inflation index)" numFmtId="0">
      <sharedItems containsSemiMixedTypes="0" containsString="0" containsNumber="1" minValue="166771.13036400001" maxValue="5253000"/>
    </cacheField>
    <cacheField name="Net inflation adjusted claim  (HINT: Net inflation adjusted claim = Gross inflation adjusted claim - deductible)" numFmtId="0">
      <sharedItems containsSemiMixedTypes="0" containsString="0" containsNumber="1" minValue="135824.54119799999" maxValue="5233328.7862259997"/>
    </cacheField>
    <cacheField name="Capped net adjusted incurred claim (HINT: Capped net adjusted incurred claim = net inflation adjusted claim capped at policy limit)" numFmtId="0">
      <sharedItems containsSemiMixedTypes="0" containsString="0" containsNumber="1" minValue="135824.54119799999" maxValue="5233328.7862259997"/>
    </cacheField>
    <cacheField name="Attritional claim flag - (set equal to 1 if claim is less than 1m, otherwise 0)" numFmtId="0">
      <sharedItems containsSemiMixedTypes="0" containsString="0" containsNumber="1" containsInteger="1" minValue="0" maxValue="1"/>
    </cacheField>
    <cacheField name="Year" numFmtId="0">
      <sharedItems containsSemiMixedTypes="0" containsString="0" containsNumber="1" containsInteger="1" minValue="2022" maxValue="202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CLM-00001"/>
    <x v="0"/>
    <x v="0"/>
    <n v="737423.28"/>
    <s v="Closed"/>
    <n v="737423.28"/>
    <n v="5000000"/>
    <n v="12345.92"/>
    <x v="0"/>
    <s v="Indian Ocean"/>
    <s v="Company 9"/>
    <n v="29079"/>
    <n v="4"/>
    <n v="1.1479107743999999"/>
    <n v="846496.12840538798"/>
    <n v="832324.11381750752"/>
    <n v="832324.11381750752"/>
    <n v="1"/>
    <n v="2019"/>
  </r>
  <r>
    <s v="CLM-00002"/>
    <x v="1"/>
    <x v="1"/>
    <n v="315189.74"/>
    <s v="Closed"/>
    <n v="315189.74"/>
    <n v="5000000"/>
    <n v="33716.76"/>
    <x v="1"/>
    <s v="Atlantic Ocean"/>
    <s v="Company 4"/>
    <n v="13902"/>
    <n v="6"/>
    <n v="1.1037603600000001"/>
    <n v="347893.94089070644"/>
    <n v="310678.71773507283"/>
    <n v="310678.71773507283"/>
    <n v="1"/>
    <n v="2020"/>
  </r>
  <r>
    <s v="CLM-00003"/>
    <x v="2"/>
    <x v="2"/>
    <n v="678364.99"/>
    <s v="Closed"/>
    <n v="678364.99"/>
    <n v="5000000"/>
    <n v="34396.910000000003"/>
    <x v="2"/>
    <s v="Mediterranean Sea"/>
    <s v="Company 2"/>
    <n v="27447"/>
    <n v="3"/>
    <n v="1.2053063131199999"/>
    <n v="817637.60504658555"/>
    <n v="776178.79227176507"/>
    <n v="776178.79227176507"/>
    <n v="1"/>
    <n v="2018"/>
  </r>
  <r>
    <s v="CLM-00004"/>
    <x v="3"/>
    <x v="3"/>
    <n v="203840.58"/>
    <s v="Open"/>
    <n v="203840.58"/>
    <n v="5000000"/>
    <n v="11703.88"/>
    <x v="3"/>
    <s v="Pacific Ocean"/>
    <s v="Company 17"/>
    <n v="99541"/>
    <n v="7"/>
    <n v="1.071612"/>
    <n v="218438.01161495998"/>
    <n v="205895.9933604"/>
    <n v="205895.9933604"/>
    <n v="1"/>
    <n v="2021"/>
  </r>
  <r>
    <s v="CLM-00005"/>
    <x v="4"/>
    <x v="4"/>
    <n v="98692.46"/>
    <s v="In Litigation"/>
    <n v="98692.46"/>
    <n v="1000000"/>
    <n v="48127.72"/>
    <x v="0"/>
    <s v="Indian Ocean"/>
    <s v="Company 12"/>
    <n v="32095"/>
    <n v="8"/>
    <n v="1.03"/>
    <n v="101653.23380000002"/>
    <n v="52081.68220000001"/>
    <n v="52081.68220000001"/>
    <n v="1"/>
    <n v="2023"/>
  </r>
  <r>
    <s v="CLM-00006"/>
    <x v="5"/>
    <x v="0"/>
    <n v="243918.65"/>
    <s v="Closed"/>
    <n v="243918.65"/>
    <n v="5000000"/>
    <n v="10585.54"/>
    <x v="1"/>
    <s v="Atlantic Ocean"/>
    <s v="Company 3"/>
    <n v="84233"/>
    <n v="2"/>
    <n v="1.1479107743999999"/>
    <n v="279996.84641210252"/>
    <n v="267845.59099326032"/>
    <n v="267845.59099326032"/>
    <n v="1"/>
    <n v="2019"/>
  </r>
  <r>
    <s v="CLM-00007"/>
    <x v="6"/>
    <x v="3"/>
    <n v="765873.46"/>
    <s v="Closed"/>
    <n v="765873.46"/>
    <n v="5000000"/>
    <n v="17345.37"/>
    <x v="3"/>
    <s v="North Sea"/>
    <s v="Company 11"/>
    <n v="90809"/>
    <n v="1"/>
    <n v="1.071612"/>
    <n v="820719.19021751999"/>
    <n v="802131.68358107994"/>
    <n v="802131.68358107994"/>
    <n v="1"/>
    <n v="2021"/>
  </r>
  <r>
    <s v="CLM-00008"/>
    <x v="7"/>
    <x v="2"/>
    <n v="913843.77"/>
    <s v="Closed"/>
    <n v="913843.77"/>
    <n v="5000000"/>
    <n v="25600.34"/>
    <x v="2"/>
    <s v="Atlantic Ocean"/>
    <s v="Company 5"/>
    <n v="24158"/>
    <n v="0"/>
    <n v="1.0506"/>
    <n v="960084.26476199995"/>
    <n v="933188.54755800008"/>
    <n v="933188.54755800008"/>
    <n v="1"/>
    <n v="2022"/>
  </r>
  <r>
    <s v="CLM-00009"/>
    <x v="8"/>
    <x v="1"/>
    <n v="754890.21"/>
    <s v="Closed"/>
    <n v="754890.21"/>
    <n v="5000000"/>
    <n v="38184.44"/>
    <x v="1"/>
    <s v="Mediterranean Sea"/>
    <s v="Company 8"/>
    <n v="74827"/>
    <n v="6"/>
    <n v="1.1037603600000001"/>
    <n v="833217.88995007565"/>
    <n v="791071.41870927729"/>
    <n v="791071.41870927729"/>
    <n v="1"/>
    <n v="2020"/>
  </r>
  <r>
    <s v="CLM-00010"/>
    <x v="9"/>
    <x v="0"/>
    <n v="600293.27"/>
    <s v="Open"/>
    <n v="600293.27"/>
    <n v="5000000"/>
    <n v="1143.25"/>
    <x v="0"/>
    <s v="Atlantic Ocean"/>
    <s v="Company 10"/>
    <n v="66519"/>
    <n v="5"/>
    <n v="1.2053063131199999"/>
    <n v="723537.26805444865"/>
    <n v="722159.30161197425"/>
    <n v="722159.30161197425"/>
    <n v="1"/>
    <n v="2018"/>
  </r>
  <r>
    <s v="CLM-00011"/>
    <x v="10"/>
    <x v="3"/>
    <n v="320726.12"/>
    <s v="Closed"/>
    <n v="320726.12"/>
    <n v="5000000"/>
    <n v="42318.97"/>
    <x v="1"/>
    <s v="North Sea"/>
    <s v="Company 7"/>
    <n v="54915"/>
    <n v="7"/>
    <n v="1.071612"/>
    <n v="343693.95890544"/>
    <n v="298344.44282580004"/>
    <n v="298344.44282580004"/>
    <n v="1"/>
    <n v="2021"/>
  </r>
  <r>
    <s v="CLM-00012"/>
    <x v="11"/>
    <x v="1"/>
    <n v="195238.55"/>
    <s v="Closed"/>
    <n v="195238.55"/>
    <n v="1000000"/>
    <n v="25634.69"/>
    <x v="2"/>
    <s v="Mediterranean Sea"/>
    <s v="Company 6"/>
    <n v="16196"/>
    <n v="8"/>
    <n v="1.1037603600000001"/>
    <n v="215496.57223387802"/>
    <n v="187202.01757098961"/>
    <n v="187202.01757098961"/>
    <n v="1"/>
    <n v="2020"/>
  </r>
  <r>
    <s v="CLM-00013"/>
    <x v="12"/>
    <x v="0"/>
    <n v="158738.94"/>
    <s v="In Litigation"/>
    <n v="158738.94"/>
    <n v="1000000"/>
    <n v="29456.11"/>
    <x v="0"/>
    <s v="Indian Ocean"/>
    <s v="Company 13"/>
    <n v="67268"/>
    <n v="3"/>
    <n v="1.0506"/>
    <n v="166771.13036400001"/>
    <n v="135824.54119799999"/>
    <n v="135824.54119799999"/>
    <n v="1"/>
    <n v="2022"/>
  </r>
  <r>
    <s v="CLM-00014"/>
    <x v="13"/>
    <x v="2"/>
    <n v="125309.18"/>
    <s v="Closed"/>
    <n v="125309.18"/>
    <n v="1000000"/>
    <n v="14978.23"/>
    <x v="2"/>
    <s v="Pacific Ocean"/>
    <s v="Company 19"/>
    <n v="45772"/>
    <n v="2"/>
    <n v="1.03"/>
    <n v="129068.45539999999"/>
    <n v="113640.87850000001"/>
    <n v="113640.87850000001"/>
    <n v="1"/>
    <n v="2023"/>
  </r>
  <r>
    <s v="CLM-00015"/>
    <x v="14"/>
    <x v="3"/>
    <n v="701924.64"/>
    <s v="Open"/>
    <n v="701924.64"/>
    <n v="5000000"/>
    <n v="24702.67"/>
    <x v="1"/>
    <s v="Atlantic Ocean"/>
    <s v="Company 14"/>
    <n v="91457"/>
    <n v="6"/>
    <n v="1.1479107743999999"/>
    <n v="805746.85707284114"/>
    <n v="777390.39602339349"/>
    <n v="777390.39602339349"/>
    <n v="1"/>
    <n v="2019"/>
  </r>
  <r>
    <s v="CLM-00016"/>
    <x v="15"/>
    <x v="4"/>
    <n v="590732.85"/>
    <s v="Closed"/>
    <n v="590732.85"/>
    <n v="5000000"/>
    <n v="9432.5"/>
    <x v="3"/>
    <s v="Mediterranean Sea"/>
    <s v="Company 1"/>
    <n v="5735"/>
    <n v="4"/>
    <n v="1.2053063131199999"/>
    <n v="712014.03347236989"/>
    <n v="700644.98167386546"/>
    <n v="700644.98167386546"/>
    <n v="1"/>
    <n v="2018"/>
  </r>
  <r>
    <s v="CLM-00017"/>
    <x v="16"/>
    <x v="0"/>
    <n v="358145.93"/>
    <s v="Closed"/>
    <n v="358145.93"/>
    <n v="2000000"/>
    <n v="16920.37"/>
    <x v="0"/>
    <s v="Pacific Ocean"/>
    <s v="Company 15"/>
    <n v="95016"/>
    <n v="7"/>
    <n v="1.071612"/>
    <n v="383793.47633916"/>
    <n v="365661.40480272"/>
    <n v="365661.40480272"/>
    <n v="1"/>
    <n v="2021"/>
  </r>
  <r>
    <s v="CLM-00018"/>
    <x v="17"/>
    <x v="2"/>
    <n v="453896.75"/>
    <s v="Closed"/>
    <n v="453896.75"/>
    <n v="500000"/>
    <n v="38928.730000000003"/>
    <x v="2"/>
    <s v="North Sea"/>
    <s v="Company 8"/>
    <n v="66858"/>
    <n v="5"/>
    <n v="1.1479107743999999"/>
    <n v="521032.96979014314"/>
    <n v="476346.26118943468"/>
    <n v="476346.26118943468"/>
    <n v="1"/>
    <n v="2019"/>
  </r>
  <r>
    <s v="CLM-00019"/>
    <x v="18"/>
    <x v="1"/>
    <n v="195984.65"/>
    <s v="In Litigation"/>
    <n v="195984.65"/>
    <n v="500000"/>
    <n v="19647.189999999999"/>
    <x v="1"/>
    <s v="Indian Ocean"/>
    <s v="Company 10"/>
    <n v="55047"/>
    <n v="3"/>
    <n v="1.0506"/>
    <n v="205901.47328999999"/>
    <n v="185260.135476"/>
    <n v="185260.135476"/>
    <n v="1"/>
    <n v="2022"/>
  </r>
  <r>
    <s v="CLM-00020"/>
    <x v="19"/>
    <x v="3"/>
    <n v="472804.33"/>
    <s v="Open"/>
    <n v="472804.33"/>
    <n v="5000000"/>
    <n v="45681.29"/>
    <x v="3"/>
    <s v="Atlantic Ocean"/>
    <s v="Company 11"/>
    <n v="58928"/>
    <n v="8"/>
    <n v="1.1037603600000001"/>
    <n v="521862.67749035888"/>
    <n v="471441.48039469449"/>
    <n v="471441.48039469449"/>
    <n v="1"/>
    <n v="2020"/>
  </r>
  <r>
    <s v="CLM-00021"/>
    <x v="20"/>
    <x v="4"/>
    <n v="87924.45"/>
    <s v="Closed"/>
    <n v="87924.45"/>
    <n v="500000"/>
    <n v="23598.21"/>
    <x v="1"/>
    <s v="North Sea"/>
    <s v="Company 13"/>
    <n v="52107"/>
    <n v="4"/>
    <n v="1.03"/>
    <n v="90562.183499999999"/>
    <n v="66256.027199999997"/>
    <n v="66256.027199999997"/>
    <n v="1"/>
    <n v="2023"/>
  </r>
  <r>
    <s v="CLM-00022"/>
    <x v="21"/>
    <x v="0"/>
    <n v="654327.44999999995"/>
    <s v="Closed"/>
    <n v="654327.44999999995"/>
    <n v="5000000"/>
    <n v="18702.73"/>
    <x v="0"/>
    <s v="Atlantic Ocean"/>
    <s v="Company 16"/>
    <n v="27090"/>
    <n v="7"/>
    <n v="1.071612"/>
    <n v="701185.14734939998"/>
    <n v="681143.07744864002"/>
    <n v="681143.07744864002"/>
    <n v="1"/>
    <n v="2021"/>
  </r>
  <r>
    <s v="CLM-00023"/>
    <x v="22"/>
    <x v="2"/>
    <n v="231548.73"/>
    <s v="Open"/>
    <n v="231548.73"/>
    <n v="500000"/>
    <n v="36928.379999999997"/>
    <x v="2"/>
    <s v="Pacific Ocean"/>
    <s v="Company 2"/>
    <n v="88809"/>
    <n v="5"/>
    <n v="1.1037603600000001"/>
    <n v="255574.30958234283"/>
    <n v="214814.22757932602"/>
    <n v="214814.22757932602"/>
    <n v="1"/>
    <n v="2020"/>
  </r>
  <r>
    <s v="CLM-00024"/>
    <x v="23"/>
    <x v="3"/>
    <n v="194738.52"/>
    <s v="In Litigation"/>
    <n v="194738.52"/>
    <n v="500000"/>
    <n v="15439.27"/>
    <x v="3"/>
    <s v="Indian Ocean"/>
    <s v="Company 17"/>
    <n v="84965"/>
    <n v="8"/>
    <n v="1.1479107743999999"/>
    <n v="223542.44529870985"/>
    <n v="205819.54091683918"/>
    <n v="205819.54091683918"/>
    <n v="1"/>
    <n v="2019"/>
  </r>
  <r>
    <s v="CLM-00025"/>
    <x v="24"/>
    <x v="1"/>
    <n v="872394.65"/>
    <s v="Closed"/>
    <n v="872394.65"/>
    <n v="10000000"/>
    <n v="24502.38"/>
    <x v="0"/>
    <s v="Mediterranean Sea"/>
    <s v="Company 4"/>
    <n v="14592"/>
    <n v="2"/>
    <n v="1.0506"/>
    <n v="916537.81929000001"/>
    <n v="890795.61886199994"/>
    <n v="890795.61886199994"/>
    <n v="1"/>
    <n v="2022"/>
  </r>
  <r>
    <s v="CLM-00026"/>
    <x v="25"/>
    <x v="0"/>
    <n v="508739.15"/>
    <s v="Closed"/>
    <n v="508739.15"/>
    <n v="5000000"/>
    <n v="11982.54"/>
    <x v="1"/>
    <s v="North Sea"/>
    <s v="Company 9"/>
    <n v="26601"/>
    <n v="3"/>
    <n v="1.2053063131199999"/>
    <n v="613186.50922630262"/>
    <n v="598743.87811708974"/>
    <n v="598743.87811708974"/>
    <n v="1"/>
    <n v="2018"/>
  </r>
  <r>
    <s v="CLM-00027"/>
    <x v="26"/>
    <x v="2"/>
    <n v="376234.78"/>
    <s v="Closed"/>
    <n v="376234.78"/>
    <n v="2000000"/>
    <n v="29748.62"/>
    <x v="2"/>
    <s v="Indian Ocean"/>
    <s v="Company 6"/>
    <n v="45237"/>
    <n v="7"/>
    <n v="1.071612"/>
    <n v="403177.70506536006"/>
    <n v="371298.72688992001"/>
    <n v="371298.72688992001"/>
    <n v="1"/>
    <n v="2021"/>
  </r>
  <r>
    <s v="CLM-00028"/>
    <x v="27"/>
    <x v="3"/>
    <n v="129803.75"/>
    <s v="In Litigation"/>
    <n v="129803.75"/>
    <n v="1000000"/>
    <n v="32920.129999999997"/>
    <x v="3"/>
    <s v="Pacific Ocean"/>
    <s v="Company 18"/>
    <n v="117543"/>
    <n v="4"/>
    <n v="1.1037603600000001"/>
    <n v="143272.23382935001"/>
    <n v="106936.29928930321"/>
    <n v="106936.29928930321"/>
    <n v="1"/>
    <n v="2020"/>
  </r>
  <r>
    <s v="CLM-00029"/>
    <x v="28"/>
    <x v="1"/>
    <n v="731235.83999999997"/>
    <s v="Closed"/>
    <n v="731235.83999999997"/>
    <n v="5000000"/>
    <n v="18936.25"/>
    <x v="1"/>
    <s v="Atlantic Ocean"/>
    <s v="Company 14"/>
    <n v="43968"/>
    <n v="2"/>
    <n v="1.03"/>
    <n v="753172.91519999993"/>
    <n v="733668.57770000002"/>
    <n v="733668.57770000002"/>
    <n v="1"/>
    <n v="2023"/>
  </r>
  <r>
    <s v="CLM-00030"/>
    <x v="29"/>
    <x v="0"/>
    <n v="158924.78"/>
    <s v="Closed"/>
    <n v="158924.78"/>
    <n v="1000000"/>
    <n v="15728.95"/>
    <x v="0"/>
    <s v="North Sea"/>
    <s v="Company 1"/>
    <n v="31355"/>
    <n v="6"/>
    <n v="1.1479107743999999"/>
    <n v="182431.46728114961"/>
    <n v="164376.03610615071"/>
    <n v="164376.03610615071"/>
    <n v="1"/>
    <n v="2019"/>
  </r>
  <r>
    <s v="CLM-00031"/>
    <x v="30"/>
    <x v="2"/>
    <n v="439832.24"/>
    <s v="Closed"/>
    <n v="439832.24"/>
    <n v="2000000"/>
    <n v="31803.94"/>
    <x v="2"/>
    <s v="Atlantic Ocean"/>
    <s v="Company 20"/>
    <n v="72739"/>
    <n v="8"/>
    <n v="1.0506"/>
    <n v="462087.75134399999"/>
    <n v="428674.53197999997"/>
    <n v="428674.53197999997"/>
    <n v="1"/>
    <n v="2022"/>
  </r>
  <r>
    <s v="CLM-00032"/>
    <x v="31"/>
    <x v="3"/>
    <n v="690239.58"/>
    <s v="In Litigation"/>
    <n v="690239.58"/>
    <n v="5000000"/>
    <n v="27392.54"/>
    <x v="3"/>
    <s v="Mediterranean Sea"/>
    <s v="Company 3"/>
    <n v="56930"/>
    <n v="7"/>
    <n v="1.1037603600000001"/>
    <n v="761859.08730704885"/>
    <n v="731624.2874953344"/>
    <n v="731624.2874953344"/>
    <n v="1"/>
    <n v="2020"/>
  </r>
  <r>
    <s v="CLM-00033"/>
    <x v="32"/>
    <x v="4"/>
    <n v="215983.48"/>
    <s v="Closed"/>
    <n v="215983.48"/>
    <n v="2000000"/>
    <n v="20984.38"/>
    <x v="1"/>
    <s v="Indian Ocean"/>
    <s v="Company 19"/>
    <n v="56225"/>
    <n v="4"/>
    <n v="1.071612"/>
    <n v="231450.48896976002"/>
    <n v="208963.37554920002"/>
    <n v="208963.37554920002"/>
    <n v="1"/>
    <n v="2021"/>
  </r>
  <r>
    <s v="CLM-00034"/>
    <x v="33"/>
    <x v="0"/>
    <n v="507983.42"/>
    <s v="Open"/>
    <n v="507983.42"/>
    <n v="5000000"/>
    <n v="35183.26"/>
    <x v="0"/>
    <s v="Pacific Ocean"/>
    <s v="Company 8"/>
    <n v="64205"/>
    <n v="2"/>
    <n v="1.1479107743999999"/>
    <n v="583119.64103456039"/>
    <n v="542732.39780204382"/>
    <n v="542732.39780204382"/>
    <n v="1"/>
    <n v="2019"/>
  </r>
  <r>
    <s v="CLM-00035"/>
    <x v="34"/>
    <x v="2"/>
    <n v="451973.22"/>
    <s v="Closed"/>
    <n v="451973.22"/>
    <n v="500000"/>
    <n v="28345.91"/>
    <x v="2"/>
    <s v="Mediterranean Sea"/>
    <s v="Company 5"/>
    <n v="49167"/>
    <n v="4"/>
    <n v="1.2053063131199999"/>
    <n v="544766.17542717454"/>
    <n v="510600.67115304328"/>
    <n v="500000"/>
    <n v="1"/>
    <n v="2018"/>
  </r>
  <r>
    <s v="CLM-00036"/>
    <x v="35"/>
    <x v="1"/>
    <n v="289524.33"/>
    <s v="Closed"/>
    <n v="289524.33"/>
    <n v="2000000"/>
    <n v="24839.279999999999"/>
    <x v="1"/>
    <s v="Atlantic Ocean"/>
    <s v="Company 7"/>
    <n v="59433"/>
    <n v="3"/>
    <n v="1.071612"/>
    <n v="310257.74631996005"/>
    <n v="283639.67580060003"/>
    <n v="283639.67580060003"/>
    <n v="1"/>
    <n v="2021"/>
  </r>
  <r>
    <s v="CLM-00037"/>
    <x v="36"/>
    <x v="3"/>
    <n v="674832.75"/>
    <s v="Open"/>
    <n v="674832.75"/>
    <n v="5000000"/>
    <n v="41283.54"/>
    <x v="3"/>
    <s v="Pacific Ocean"/>
    <s v="Company 12"/>
    <n v="86168"/>
    <n v="5"/>
    <n v="1.1037603600000001"/>
    <n v="744853.6390797901"/>
    <n v="699286.50410731568"/>
    <n v="699286.50410731568"/>
    <n v="1"/>
    <n v="2020"/>
  </r>
  <r>
    <s v="CLM-00038"/>
    <x v="37"/>
    <x v="4"/>
    <n v="289523.34000000003"/>
    <s v="In Litigation"/>
    <n v="289523.34000000003"/>
    <n v="2000000"/>
    <n v="27394.74"/>
    <x v="0"/>
    <s v="North Sea"/>
    <s v="Company 16"/>
    <n v="11713"/>
    <n v="8"/>
    <n v="1.03"/>
    <n v="298209.04020000005"/>
    <n v="269992.45800000004"/>
    <n v="269992.45800000004"/>
    <n v="1"/>
    <n v="2023"/>
  </r>
  <r>
    <s v="CLM-00039"/>
    <x v="38"/>
    <x v="0"/>
    <n v="492783.45"/>
    <s v="Closed"/>
    <n v="492783.45"/>
    <n v="2000000"/>
    <n v="19284.28"/>
    <x v="1"/>
    <s v="Indian Ocean"/>
    <s v="Company 11"/>
    <n v="76267"/>
    <n v="6"/>
    <n v="1.0506"/>
    <n v="517718.29256999999"/>
    <n v="497458.22800200002"/>
    <n v="497458.22800200002"/>
    <n v="1"/>
    <n v="2022"/>
  </r>
  <r>
    <s v="CLM-00040"/>
    <x v="39"/>
    <x v="2"/>
    <n v="812739.57"/>
    <s v="Closed"/>
    <n v="812739.57"/>
    <n v="5000000"/>
    <n v="38293.449999999997"/>
    <x v="2"/>
    <s v="North Sea"/>
    <s v="Company 18"/>
    <n v="46433"/>
    <n v="7"/>
    <n v="1.1479107743999999"/>
    <n v="932952.5091842229"/>
    <n v="888995.04534027528"/>
    <n v="888995.04534027528"/>
    <n v="1"/>
    <n v="2019"/>
  </r>
  <r>
    <s v="CLM-00041"/>
    <x v="40"/>
    <x v="3"/>
    <n v="523987.21"/>
    <s v="Open"/>
    <n v="523987.21"/>
    <n v="5000000"/>
    <n v="25893.27"/>
    <x v="3"/>
    <s v="Atlantic Ocean"/>
    <s v="Company 10"/>
    <n v="70010"/>
    <n v="2"/>
    <n v="1.071612"/>
    <n v="561510.98208252003"/>
    <n v="533763.44323127996"/>
    <n v="533763.44323127996"/>
    <n v="1"/>
    <n v="2021"/>
  </r>
  <r>
    <s v="CLM-00042"/>
    <x v="41"/>
    <x v="1"/>
    <n v="392873.65"/>
    <s v="Closed"/>
    <n v="392873.65"/>
    <n v="2000000"/>
    <n v="31847.45"/>
    <x v="1"/>
    <s v="Mediterranean Sea"/>
    <s v="Company 4"/>
    <n v="26772"/>
    <n v="5"/>
    <n v="1.03"/>
    <n v="404659.85950000002"/>
    <n v="371856.98600000003"/>
    <n v="371856.98600000003"/>
    <n v="1"/>
    <n v="2023"/>
  </r>
  <r>
    <s v="CLM-00043"/>
    <x v="42"/>
    <x v="4"/>
    <n v="539278.54"/>
    <s v="Closed"/>
    <n v="539278.54"/>
    <n v="5000000"/>
    <n v="18294.75"/>
    <x v="0"/>
    <s v="Pacific Ocean"/>
    <s v="Company 15"/>
    <n v="56915"/>
    <n v="3"/>
    <n v="1.1037603600000001"/>
    <n v="595234.27545067447"/>
    <n v="575041.25560456445"/>
    <n v="575041.25560456445"/>
    <n v="1"/>
    <n v="2020"/>
  </r>
  <r>
    <s v="CLM-00044"/>
    <x v="43"/>
    <x v="0"/>
    <n v="283973.44"/>
    <s v="Open"/>
    <n v="283973.44"/>
    <n v="2000000"/>
    <n v="16483.54"/>
    <x v="0"/>
    <s v="Indian Ocean"/>
    <s v="Company 9"/>
    <n v="47381"/>
    <n v="4"/>
    <n v="1.2053063131199999"/>
    <n v="342274.97999040352"/>
    <n v="322407.26516583748"/>
    <n v="322407.26516583748"/>
    <n v="1"/>
    <n v="2018"/>
  </r>
  <r>
    <s v="CLM-00045"/>
    <x v="44"/>
    <x v="2"/>
    <n v="482839.65"/>
    <s v="Closed"/>
    <n v="482839.65"/>
    <n v="5000000"/>
    <n v="35298.639999999999"/>
    <x v="2"/>
    <s v="North Sea"/>
    <s v="Company 7"/>
    <n v="74578"/>
    <n v="1"/>
    <n v="1.0506"/>
    <n v="507271.33629000001"/>
    <n v="470186.58510600001"/>
    <n v="470186.58510600001"/>
    <n v="1"/>
    <n v="2022"/>
  </r>
  <r>
    <s v="CLM-00046"/>
    <x v="45"/>
    <x v="3"/>
    <n v="683482.94"/>
    <s v="In Litigation"/>
    <n v="683482.94"/>
    <n v="5000000"/>
    <n v="32947.85"/>
    <x v="3"/>
    <s v="Atlantic Ocean"/>
    <s v="Company 3"/>
    <n v="101982"/>
    <n v="6"/>
    <n v="1.071612"/>
    <n v="732428.52029927995"/>
    <n v="697121.20886508003"/>
    <n v="697121.20886508003"/>
    <n v="1"/>
    <n v="2021"/>
  </r>
  <r>
    <s v="CLM-00047"/>
    <x v="46"/>
    <x v="1"/>
    <n v="783948.23"/>
    <s v="Closed"/>
    <n v="783948.23"/>
    <n v="5000000"/>
    <n v="29582.39"/>
    <x v="1"/>
    <s v="Mediterranean Sea"/>
    <s v="Company 14"/>
    <n v="31872"/>
    <n v="2"/>
    <n v="1.1037603600000001"/>
    <n v="865290.98056616285"/>
    <n v="832639.11113010242"/>
    <n v="832639.11113010242"/>
    <n v="1"/>
    <n v="2020"/>
  </r>
  <r>
    <s v="CLM-00048"/>
    <x v="47"/>
    <x v="4"/>
    <n v="239582.74"/>
    <s v="Closed"/>
    <n v="239582.74"/>
    <n v="1000000"/>
    <n v="21394.23"/>
    <x v="0"/>
    <s v="Indian Ocean"/>
    <s v="Company 2"/>
    <n v="49314"/>
    <n v="7"/>
    <n v="1.1479107743999999"/>
    <n v="275019.60860627383"/>
    <n v="250460.9414792821"/>
    <n v="250460.9414792821"/>
    <n v="1"/>
    <n v="2019"/>
  </r>
  <r>
    <s v="CLM-00049"/>
    <x v="48"/>
    <x v="0"/>
    <n v="294738.48"/>
    <s v="Closed"/>
    <n v="294738.48"/>
    <n v="2000000"/>
    <n v="18947.53"/>
    <x v="1"/>
    <s v="North Sea"/>
    <s v="Company 8"/>
    <n v="32544"/>
    <n v="4"/>
    <n v="1.0506"/>
    <n v="309652.24708799995"/>
    <n v="289745.97206999996"/>
    <n v="289745.97206999996"/>
    <n v="1"/>
    <n v="2022"/>
  </r>
  <r>
    <s v="CLM-00050"/>
    <x v="49"/>
    <x v="2"/>
    <n v="583948.29"/>
    <s v="Closed"/>
    <n v="583948.29"/>
    <n v="5000000"/>
    <n v="29284.38"/>
    <x v="2"/>
    <s v="Pacific Ocean"/>
    <s v="Company 13"/>
    <n v="66588"/>
    <n v="9"/>
    <n v="1.071612"/>
    <n v="625765.99494348001"/>
    <n v="594384.50192292"/>
    <n v="594384.50192292"/>
    <n v="1"/>
    <n v="2021"/>
  </r>
  <r>
    <s v="CLM-00051"/>
    <x v="50"/>
    <x v="3"/>
    <n v="784839.21"/>
    <s v="Open"/>
    <n v="784839.21"/>
    <n v="5000000"/>
    <n v="38947.279999999999"/>
    <x v="3"/>
    <s v="Atlantic Ocean"/>
    <s v="Company 5"/>
    <n v="81480"/>
    <n v="3"/>
    <n v="1.1037603600000001"/>
    <n v="866274.4089717156"/>
    <n v="823285.94517789478"/>
    <n v="823285.94517789478"/>
    <n v="1"/>
    <n v="2020"/>
  </r>
  <r>
    <s v="CLM-00052"/>
    <x v="51"/>
    <x v="1"/>
    <n v="398483.65"/>
    <s v="Closed"/>
    <n v="398483.65"/>
    <n v="2000000"/>
    <n v="28947.38"/>
    <x v="1"/>
    <s v="Mediterranean Sea"/>
    <s v="Company 11"/>
    <n v="43486"/>
    <n v="6"/>
    <n v="1.03"/>
    <n v="410438.15950000001"/>
    <n v="380622.35810000001"/>
    <n v="380622.35810000001"/>
    <n v="1"/>
    <n v="2023"/>
  </r>
  <r>
    <s v="CLM-00053"/>
    <x v="52"/>
    <x v="4"/>
    <n v="485739.23"/>
    <s v="Closed"/>
    <n v="485739.23"/>
    <n v="5000000"/>
    <n v="17395.84"/>
    <x v="0"/>
    <s v="North Sea"/>
    <s v="Company 17"/>
    <n v="46751"/>
    <n v="8"/>
    <n v="1.2053063131199999"/>
    <n v="585464.5604490476"/>
    <n v="564497.2446750222"/>
    <n v="564497.2446750222"/>
    <n v="1"/>
    <n v="2018"/>
  </r>
  <r>
    <s v="CLM-00054"/>
    <x v="53"/>
    <x v="0"/>
    <n v="593849.48"/>
    <s v="Open"/>
    <n v="593849.48"/>
    <n v="5000000"/>
    <n v="38947.58"/>
    <x v="1"/>
    <s v="Indian Ocean"/>
    <s v="Company 4"/>
    <n v="76697"/>
    <n v="2"/>
    <n v="1.1479107743999999"/>
    <n v="681686.21646383719"/>
    <n v="636977.86974503135"/>
    <n v="636977.86974503135"/>
    <n v="1"/>
    <n v="2019"/>
  </r>
  <r>
    <s v="CLM-00055"/>
    <x v="54"/>
    <x v="2"/>
    <n v="683849.75"/>
    <s v="Closed"/>
    <n v="683849.75"/>
    <n v="5000000"/>
    <n v="32947.449999999997"/>
    <x v="2"/>
    <s v="Pacific Ocean"/>
    <s v="Company 7"/>
    <n v="66729"/>
    <n v="3"/>
    <n v="1.0506"/>
    <n v="718452.54735000001"/>
    <n v="683837.95637999999"/>
    <n v="683837.95637999999"/>
    <n v="1"/>
    <n v="2022"/>
  </r>
  <r>
    <s v="CLM-00056"/>
    <x v="55"/>
    <x v="3"/>
    <n v="792483.56"/>
    <s v="Open"/>
    <n v="792483.56"/>
    <n v="5000000"/>
    <n v="34948.25"/>
    <x v="3"/>
    <s v="Atlantic Ocean"/>
    <s v="Company 8"/>
    <n v="51156"/>
    <n v="7"/>
    <n v="1.071612"/>
    <n v="849234.8926987201"/>
    <n v="811783.92861972004"/>
    <n v="811783.92861972004"/>
    <n v="1"/>
    <n v="2021"/>
  </r>
  <r>
    <s v="CLM-00057"/>
    <x v="56"/>
    <x v="1"/>
    <n v="594837.93999999994"/>
    <s v="Closed"/>
    <n v="594837.93999999994"/>
    <n v="5000000"/>
    <n v="28947.56"/>
    <x v="1"/>
    <s v="Mediterranean Sea"/>
    <s v="Company 10"/>
    <n v="65279"/>
    <n v="4"/>
    <n v="1.1037603600000001"/>
    <n v="656558.53879605839"/>
    <n v="624607.36954933673"/>
    <n v="624607.36954933673"/>
    <n v="1"/>
    <n v="2020"/>
  </r>
  <r>
    <s v="CLM-00058"/>
    <x v="57"/>
    <x v="4"/>
    <n v="472839.28"/>
    <s v="Closed"/>
    <n v="472839.28"/>
    <n v="5000000"/>
    <n v="21938.48"/>
    <x v="0"/>
    <s v="North Sea"/>
    <s v="Company 3"/>
    <n v="40359"/>
    <n v="6"/>
    <n v="1.03"/>
    <n v="487024.45840000006"/>
    <n v="464427.82400000008"/>
    <n v="464427.82400000008"/>
    <n v="1"/>
    <n v="2023"/>
  </r>
  <r>
    <s v="CLM-00059"/>
    <x v="58"/>
    <x v="0"/>
    <n v="592483.44999999995"/>
    <s v="Open"/>
    <n v="592483.44999999995"/>
    <n v="2000000"/>
    <n v="32947.379999999997"/>
    <x v="1"/>
    <s v="Atlantic Ocean"/>
    <s v="Company 9"/>
    <n v="36763"/>
    <n v="5"/>
    <n v="1.2053063131199999"/>
    <n v="714124.04270411772"/>
    <n v="674412.35758935416"/>
    <n v="674412.35758935416"/>
    <n v="1"/>
    <n v="2018"/>
  </r>
  <r>
    <s v="CLM-00060"/>
    <x v="59"/>
    <x v="2"/>
    <n v="839483.29"/>
    <s v="Closed"/>
    <n v="839483.29"/>
    <n v="5000000"/>
    <n v="37948.379999999997"/>
    <x v="2"/>
    <s v="Pacific Ocean"/>
    <s v="Company 6"/>
    <n v="72965"/>
    <n v="3"/>
    <n v="1.1479107743999999"/>
    <n v="963651.91351975978"/>
    <n v="920090.55924673425"/>
    <n v="920090.55924673425"/>
    <n v="1"/>
    <n v="2019"/>
  </r>
  <r>
    <s v="CLM-00061"/>
    <x v="60"/>
    <x v="3"/>
    <n v="839483.58"/>
    <s v="Open"/>
    <n v="839483.58"/>
    <n v="5000000"/>
    <n v="38947.449999999997"/>
    <x v="3"/>
    <s v="North Sea"/>
    <s v="Company 11"/>
    <n v="96610"/>
    <n v="4"/>
    <n v="1.0506"/>
    <n v="881961.44914799999"/>
    <n v="841043.25817799999"/>
    <n v="841043.25817799999"/>
    <n v="1"/>
    <n v="2022"/>
  </r>
  <r>
    <s v="CLM-00062"/>
    <x v="61"/>
    <x v="1"/>
    <n v="793849.23"/>
    <s v="Closed"/>
    <n v="793849.23"/>
    <n v="5000000"/>
    <n v="29482.48"/>
    <x v="1"/>
    <s v="Mediterranean Sea"/>
    <s v="Company 13"/>
    <n v="66782"/>
    <n v="7"/>
    <n v="1.071612"/>
    <n v="850698.36105875997"/>
    <n v="819104.58170099999"/>
    <n v="819104.58170099999"/>
    <n v="1"/>
    <n v="2021"/>
  </r>
  <r>
    <s v="CLM-00063"/>
    <x v="62"/>
    <x v="4"/>
    <n v="473839.25"/>
    <s v="Closed"/>
    <n v="473839.25"/>
    <n v="5000000"/>
    <n v="27482.38"/>
    <x v="0"/>
    <s v="Pacific Ocean"/>
    <s v="Company 15"/>
    <n v="17251"/>
    <n v="6"/>
    <n v="1.1037603600000001"/>
    <n v="523004.98116213008"/>
    <n v="492671.01951967325"/>
    <n v="492671.01951967325"/>
    <n v="1"/>
    <n v="2020"/>
  </r>
  <r>
    <s v="CLM-00064"/>
    <x v="63"/>
    <x v="0"/>
    <n v="573849.48"/>
    <s v="Open"/>
    <n v="573849.48"/>
    <n v="5000000"/>
    <n v="32847.58"/>
    <x v="1"/>
    <s v="Indian Ocean"/>
    <s v="Company 8"/>
    <n v="55591"/>
    <n v="3"/>
    <n v="1.1479107743999999"/>
    <n v="658728.00097583723"/>
    <n v="621021.90998087137"/>
    <n v="621021.90998087137"/>
    <n v="1"/>
    <n v="2019"/>
  </r>
  <r>
    <s v="CLM-00065"/>
    <x v="64"/>
    <x v="2"/>
    <n v="683849.75"/>
    <s v="Closed"/>
    <n v="683849.75"/>
    <n v="5000000"/>
    <n v="32947.449999999997"/>
    <x v="2"/>
    <s v="Atlantic Ocean"/>
    <s v="Company 1"/>
    <n v="61428"/>
    <n v="2"/>
    <n v="1.03"/>
    <n v="704365.24250000005"/>
    <n v="670429.36900000006"/>
    <n v="670429.36900000006"/>
    <n v="1"/>
    <n v="2023"/>
  </r>
  <r>
    <s v="CLM-00066"/>
    <x v="65"/>
    <x v="3"/>
    <n v="683849.45"/>
    <s v="Open"/>
    <n v="683849.45"/>
    <n v="5000000"/>
    <n v="29482.45"/>
    <x v="3"/>
    <s v="Mediterranean Sea"/>
    <s v="Company 7"/>
    <n v="64992"/>
    <n v="4"/>
    <n v="1.0506"/>
    <n v="718452.23216999997"/>
    <n v="687477.97019999998"/>
    <n v="687477.97019999998"/>
    <n v="1"/>
    <n v="2022"/>
  </r>
  <r>
    <s v="CLM-00067"/>
    <x v="66"/>
    <x v="1"/>
    <n v="573839.54"/>
    <s v="Closed"/>
    <n v="573839.54"/>
    <n v="5000000"/>
    <n v="27839.38"/>
    <x v="1"/>
    <s v="North Sea"/>
    <s v="Company 14"/>
    <n v="32343"/>
    <n v="5"/>
    <n v="1.071612"/>
    <n v="614933.33713848004"/>
    <n v="585100.32345791999"/>
    <n v="585100.32345791999"/>
    <n v="1"/>
    <n v="2021"/>
  </r>
  <r>
    <s v="CLM-00068"/>
    <x v="67"/>
    <x v="4"/>
    <n v="572839.44999999995"/>
    <s v="Closed"/>
    <n v="572839.44999999995"/>
    <n v="5000000"/>
    <n v="32947.449999999997"/>
    <x v="0"/>
    <s v="Pacific Ocean"/>
    <s v="Company 6"/>
    <n v="18307"/>
    <n v="3"/>
    <n v="1.1037603600000001"/>
    <n v="632277.47755420196"/>
    <n v="595911.3882811201"/>
    <n v="595911.3882811201"/>
    <n v="1"/>
    <n v="2020"/>
  </r>
  <r>
    <s v="CLM-00069"/>
    <x v="68"/>
    <x v="4"/>
    <n v="472839.38"/>
    <s v="Open"/>
    <n v="472839.38"/>
    <n v="2000000"/>
    <n v="29473.84"/>
    <x v="1"/>
    <s v="Mediterranean Sea"/>
    <s v="Company 16"/>
    <n v="12068"/>
    <n v="4"/>
    <n v="1.1479107743999999"/>
    <n v="542777.41886261583"/>
    <n v="508944.08036367409"/>
    <n v="508944.08036367409"/>
    <n v="1"/>
    <n v="2019"/>
  </r>
  <r>
    <s v="CLM-00070"/>
    <x v="69"/>
    <x v="0"/>
    <n v="573849.48"/>
    <s v="Closed"/>
    <n v="573849.48"/>
    <n v="5000000"/>
    <n v="32847.58"/>
    <x v="1"/>
    <s v="North Sea"/>
    <s v="Company 7"/>
    <n v="57633"/>
    <n v="3"/>
    <n v="1.03"/>
    <n v="591064.96439999994"/>
    <n v="557231.95700000005"/>
    <n v="557231.95700000005"/>
    <n v="1"/>
    <n v="2023"/>
  </r>
  <r>
    <s v="CLM-00071"/>
    <x v="70"/>
    <x v="2"/>
    <n v="683849.75"/>
    <s v="Closed"/>
    <n v="683849.75"/>
    <n v="5000000"/>
    <n v="37948.379999999997"/>
    <x v="2"/>
    <s v="Pacific Ocean"/>
    <s v="Company 19"/>
    <n v="51734"/>
    <n v="5"/>
    <n v="1.071612"/>
    <n v="732821.59829700005"/>
    <n v="692155.65890844003"/>
    <n v="692155.65890844003"/>
    <n v="1"/>
    <n v="2021"/>
  </r>
  <r>
    <s v="CLM-00072"/>
    <x v="71"/>
    <x v="3"/>
    <n v="739849.45"/>
    <s v="Open"/>
    <n v="739849.45"/>
    <n v="5000000"/>
    <n v="38947.449999999997"/>
    <x v="3"/>
    <s v="Indian Ocean"/>
    <s v="Company 5"/>
    <n v="60020"/>
    <n v="3"/>
    <n v="1.0506"/>
    <n v="777285.83216999995"/>
    <n v="736367.64119999995"/>
    <n v="736367.64119999995"/>
    <n v="1"/>
    <n v="2022"/>
  </r>
  <r>
    <s v="CLM-00073"/>
    <x v="72"/>
    <x v="1"/>
    <n v="573839.54"/>
    <s v="Closed"/>
    <n v="573839.54"/>
    <n v="5000000"/>
    <n v="27839.38"/>
    <x v="1"/>
    <s v="Atlantic Ocean"/>
    <s v="Company 20"/>
    <n v="72327"/>
    <n v="6"/>
    <n v="1.1037603600000001"/>
    <n v="633381.33725263446"/>
    <n v="602653.33316165768"/>
    <n v="602653.33316165768"/>
    <n v="1"/>
    <n v="2020"/>
  </r>
  <r>
    <s v="CLM-00074"/>
    <x v="73"/>
    <x v="4"/>
    <n v="572839.44999999995"/>
    <s v="Closed"/>
    <n v="572839.44999999995"/>
    <n v="5000000"/>
    <n v="32947.449999999997"/>
    <x v="0"/>
    <s v="North Sea"/>
    <s v="Company 9"/>
    <n v="27665"/>
    <n v="3"/>
    <n v="1.2053063131199999"/>
    <n v="690447.00548918848"/>
    <n v="650735.23600298294"/>
    <n v="650735.23600298294"/>
    <n v="1"/>
    <n v="2018"/>
  </r>
  <r>
    <s v="CLM-00075"/>
    <x v="74"/>
    <x v="0"/>
    <n v="793849.23"/>
    <s v="Open"/>
    <n v="793849.23"/>
    <n v="5000000"/>
    <n v="29482.48"/>
    <x v="1"/>
    <s v="Pacific Ocean"/>
    <s v="Company 12"/>
    <n v="31808"/>
    <n v="4"/>
    <n v="1.03"/>
    <n v="817664.70689999999"/>
    <n v="787297.75250000006"/>
    <n v="787297.75250000006"/>
    <n v="1"/>
    <n v="2023"/>
  </r>
  <r>
    <s v="CLM-00076"/>
    <x v="75"/>
    <x v="2"/>
    <n v="573849.48"/>
    <s v="Closed"/>
    <n v="573849.48"/>
    <n v="5000000"/>
    <n v="32847.58"/>
    <x v="2"/>
    <s v="Indian Ocean"/>
    <s v="Company 14"/>
    <n v="33977"/>
    <n v="3"/>
    <n v="1.071612"/>
    <n v="614943.98896175995"/>
    <n v="579744.12806280004"/>
    <n v="579744.12806280004"/>
    <n v="1"/>
    <n v="2021"/>
  </r>
  <r>
    <s v="CLM-00077"/>
    <x v="76"/>
    <x v="3"/>
    <n v="572839.44999999995"/>
    <s v="Closed"/>
    <n v="572839.44999999995"/>
    <n v="5000000"/>
    <n v="32947.449999999997"/>
    <x v="3"/>
    <s v="Mediterranean Sea"/>
    <s v="Company 8"/>
    <n v="89337"/>
    <n v="6"/>
    <n v="1.1037603600000001"/>
    <n v="632277.47755420196"/>
    <n v="595911.3882811201"/>
    <n v="595911.3882811201"/>
    <n v="1"/>
    <n v="2020"/>
  </r>
  <r>
    <s v="CLM-00078"/>
    <x v="24"/>
    <x v="1"/>
    <n v="573839.54"/>
    <s v="Open"/>
    <n v="573839.54"/>
    <n v="5000000"/>
    <n v="27839.38"/>
    <x v="1"/>
    <s v="Atlantic Ocean"/>
    <s v="Company 11"/>
    <n v="61147"/>
    <n v="3"/>
    <n v="1.0506"/>
    <n v="602875.82072399999"/>
    <n v="573627.76809600007"/>
    <n v="573627.76809600007"/>
    <n v="1"/>
    <n v="2022"/>
  </r>
  <r>
    <s v="CLM-00079"/>
    <x v="77"/>
    <x v="4"/>
    <n v="473839.25"/>
    <s v="Closed"/>
    <n v="473839.25"/>
    <n v="2000000"/>
    <n v="27482.38"/>
    <x v="0"/>
    <s v="North Sea"/>
    <s v="Company 2"/>
    <n v="52088"/>
    <n v="5"/>
    <n v="1.03"/>
    <n v="488054.42749999999"/>
    <n v="459747.57610000001"/>
    <n v="459747.57610000001"/>
    <n v="1"/>
    <n v="2023"/>
  </r>
  <r>
    <s v="CLM-00080"/>
    <x v="78"/>
    <x v="0"/>
    <n v="573849.48"/>
    <s v="Closed"/>
    <n v="573849.48"/>
    <n v="5000000"/>
    <n v="32847.58"/>
    <x v="1"/>
    <s v="Pacific Ocean"/>
    <s v="Company 17"/>
    <n v="43326"/>
    <n v="7"/>
    <n v="1.071612"/>
    <n v="614943.98896175995"/>
    <n v="579744.12806280004"/>
    <n v="579744.12806280004"/>
    <n v="1"/>
    <n v="2021"/>
  </r>
  <r>
    <s v="CLM-00081"/>
    <x v="79"/>
    <x v="2"/>
    <n v="683849.75"/>
    <s v="Closed"/>
    <n v="683849.75"/>
    <n v="5000000"/>
    <n v="37948.379999999997"/>
    <x v="2"/>
    <s v="Indian Ocean"/>
    <s v="Company 1"/>
    <n v="82961"/>
    <n v="3"/>
    <n v="1.1037603600000001"/>
    <n v="754806.24624591006"/>
    <n v="712920.32867569325"/>
    <n v="712920.32867569325"/>
    <n v="1"/>
    <n v="2020"/>
  </r>
  <r>
    <s v="CLM-00082"/>
    <x v="80"/>
    <x v="3"/>
    <n v="739849.45"/>
    <s v="Open"/>
    <n v="739849.45"/>
    <n v="5000000"/>
    <n v="38947.449999999997"/>
    <x v="3"/>
    <s v="Mediterranean Sea"/>
    <s v="Company 13"/>
    <n v="70127"/>
    <n v="4"/>
    <n v="1.1479107743999999"/>
    <n v="849281.15508891398"/>
    <n v="804572.95759850868"/>
    <n v="804572.95759850868"/>
    <n v="1"/>
    <n v="2019"/>
  </r>
  <r>
    <s v="CLM-00083"/>
    <x v="81"/>
    <x v="1"/>
    <n v="573839.54"/>
    <s v="Closed"/>
    <n v="573839.54"/>
    <n v="5000000"/>
    <n v="27839.38"/>
    <x v="1"/>
    <s v="Atlantic Ocean"/>
    <s v="Company 18"/>
    <n v="69746"/>
    <n v="5"/>
    <n v="1.2053063131199999"/>
    <n v="691652.42027987679"/>
    <n v="658097.43981253006"/>
    <n v="658097.43981253006"/>
    <n v="1"/>
    <n v="2018"/>
  </r>
  <r>
    <s v="CLM-00084"/>
    <x v="82"/>
    <x v="4"/>
    <n v="572839.44999999995"/>
    <s v="Closed"/>
    <n v="572839.44999999995"/>
    <n v="5000000"/>
    <n v="32947.449999999997"/>
    <x v="0"/>
    <s v="North Sea"/>
    <s v="Company 16"/>
    <n v="25222"/>
    <n v="6"/>
    <n v="1.03"/>
    <n v="590024.6335"/>
    <n v="556088.76"/>
    <n v="556088.76"/>
    <n v="1"/>
    <n v="2023"/>
  </r>
  <r>
    <s v="CLM-00085"/>
    <x v="83"/>
    <x v="0"/>
    <n v="793849.23"/>
    <s v="Open"/>
    <n v="793849.23"/>
    <n v="5000000"/>
    <n v="29482.48"/>
    <x v="1"/>
    <s v="Pacific Ocean"/>
    <s v="Company 7"/>
    <n v="20588"/>
    <n v="4"/>
    <n v="1.071612"/>
    <n v="850698.36105875997"/>
    <n v="819104.58170099999"/>
    <n v="819104.58170099999"/>
    <n v="1"/>
    <n v="2021"/>
  </r>
  <r>
    <s v="CLM-00086"/>
    <x v="84"/>
    <x v="2"/>
    <n v="573849.48"/>
    <s v="Closed"/>
    <n v="573849.48"/>
    <n v="5000000"/>
    <n v="32847.58"/>
    <x v="2"/>
    <s v="Indian Ocean"/>
    <s v="Company 4"/>
    <n v="79857"/>
    <n v="3"/>
    <n v="1.1037603600000001"/>
    <n v="633392.3086306128"/>
    <n v="597136.45190468407"/>
    <n v="597136.45190468407"/>
    <n v="1"/>
    <n v="2020"/>
  </r>
  <r>
    <s v="CLM-00087"/>
    <x v="85"/>
    <x v="3"/>
    <n v="572839.44999999995"/>
    <s v="Closed"/>
    <n v="572839.44999999995"/>
    <n v="5000000"/>
    <n v="32947.449999999997"/>
    <x v="3"/>
    <s v="Atlantic Ocean"/>
    <s v="Company 6"/>
    <n v="69066"/>
    <n v="5"/>
    <n v="1.1479107743999999"/>
    <n v="657568.57665636996"/>
    <n v="619747.84381236474"/>
    <n v="619747.84381236474"/>
    <n v="1"/>
    <n v="2019"/>
  </r>
  <r>
    <s v="CLM-00088"/>
    <x v="86"/>
    <x v="1"/>
    <n v="573839.54"/>
    <s v="Open"/>
    <n v="573839.54"/>
    <n v="5000000"/>
    <n v="27839.38"/>
    <x v="1"/>
    <s v="Mediterranean Sea"/>
    <s v="Company 5"/>
    <n v="28327"/>
    <n v="3"/>
    <n v="1.0506"/>
    <n v="602875.82072399999"/>
    <n v="573627.76809600007"/>
    <n v="573627.76809600007"/>
    <n v="1"/>
    <n v="2022"/>
  </r>
  <r>
    <s v="CLM-00089"/>
    <x v="4"/>
    <x v="4"/>
    <n v="473839.25"/>
    <s v="Closed"/>
    <n v="473839.25"/>
    <n v="2000000"/>
    <n v="27482.38"/>
    <x v="0"/>
    <s v="North Sea"/>
    <s v="Company 9"/>
    <n v="29297"/>
    <n v="7"/>
    <n v="1.03"/>
    <n v="488054.42749999999"/>
    <n v="459747.57610000001"/>
    <n v="459747.57610000001"/>
    <n v="1"/>
    <n v="2023"/>
  </r>
  <r>
    <s v="CLM-00090"/>
    <x v="87"/>
    <x v="0"/>
    <n v="573849.48"/>
    <s v="Closed"/>
    <n v="573849.48"/>
    <n v="5000000"/>
    <n v="32847.58"/>
    <x v="1"/>
    <s v="Pacific Ocean"/>
    <s v="Company 11"/>
    <n v="43455"/>
    <n v="4"/>
    <n v="1.071612"/>
    <n v="614943.98896175995"/>
    <n v="579744.12806280004"/>
    <n v="579744.12806280004"/>
    <n v="1"/>
    <n v="2021"/>
  </r>
  <r>
    <s v="CLM-00091"/>
    <x v="88"/>
    <x v="2"/>
    <n v="683849.75"/>
    <s v="Closed"/>
    <n v="683849.75"/>
    <n v="5000000"/>
    <n v="37948.379999999997"/>
    <x v="2"/>
    <s v="Indian Ocean"/>
    <s v="Company 3"/>
    <n v="75404"/>
    <n v="5"/>
    <n v="1.1037603600000001"/>
    <n v="754806.24624591006"/>
    <n v="712920.32867569325"/>
    <n v="712920.32867569325"/>
    <n v="1"/>
    <n v="2020"/>
  </r>
  <r>
    <s v="CLM-00092"/>
    <x v="89"/>
    <x v="3"/>
    <n v="739849.45"/>
    <s v="Open"/>
    <n v="739849.45"/>
    <n v="5000000"/>
    <n v="38947.449999999997"/>
    <x v="3"/>
    <s v="Mediterranean Sea"/>
    <s v="Company 17"/>
    <n v="54353"/>
    <n v="6"/>
    <n v="1.0506"/>
    <n v="777285.83216999995"/>
    <n v="736367.64119999995"/>
    <n v="736367.64119999995"/>
    <n v="1"/>
    <n v="2022"/>
  </r>
  <r>
    <s v="CLM-00093"/>
    <x v="90"/>
    <x v="1"/>
    <n v="573839.54"/>
    <s v="Closed"/>
    <n v="573839.54"/>
    <n v="5000000"/>
    <n v="27839.38"/>
    <x v="1"/>
    <s v="Atlantic Ocean"/>
    <s v="Company 14"/>
    <n v="58937"/>
    <n v="3"/>
    <n v="1.1479107743999999"/>
    <n v="658716.59074273973"/>
    <n v="626759.46648812387"/>
    <n v="626759.46648812387"/>
    <n v="1"/>
    <n v="2019"/>
  </r>
  <r>
    <s v="CLM-00094"/>
    <x v="91"/>
    <x v="4"/>
    <n v="572839.44999999995"/>
    <s v="Closed"/>
    <n v="572839.44999999995"/>
    <n v="5000000"/>
    <n v="32947.449999999997"/>
    <x v="0"/>
    <s v="North Sea"/>
    <s v="Company 15"/>
    <n v="47856"/>
    <n v="4"/>
    <n v="1.03"/>
    <n v="590024.6335"/>
    <n v="556088.76"/>
    <n v="556088.76"/>
    <n v="1"/>
    <n v="2023"/>
  </r>
  <r>
    <s v="CLM-00095"/>
    <x v="92"/>
    <x v="0"/>
    <n v="793849.23"/>
    <s v="Open"/>
    <n v="793849.23"/>
    <n v="5000000"/>
    <n v="29482.48"/>
    <x v="1"/>
    <s v="Pacific Ocean"/>
    <s v="Company 16"/>
    <n v="21638"/>
    <n v="3"/>
    <n v="1.071612"/>
    <n v="850698.36105875997"/>
    <n v="819104.58170099999"/>
    <n v="819104.58170099999"/>
    <n v="1"/>
    <n v="2021"/>
  </r>
  <r>
    <s v="CLM-00096"/>
    <x v="93"/>
    <x v="2"/>
    <n v="573849.48"/>
    <s v="Closed"/>
    <n v="573849.48"/>
    <n v="5000000"/>
    <n v="32847.58"/>
    <x v="2"/>
    <s v="Indian Ocean"/>
    <s v="Company 7"/>
    <n v="30562"/>
    <n v="6"/>
    <n v="1.1037603600000001"/>
    <n v="633392.3086306128"/>
    <n v="597136.45190468407"/>
    <n v="597136.45190468407"/>
    <n v="1"/>
    <n v="2020"/>
  </r>
  <r>
    <s v="CLM-00097"/>
    <x v="94"/>
    <x v="3"/>
    <n v="572839.44999999995"/>
    <s v="Closed"/>
    <n v="572839.44999999995"/>
    <n v="5000000"/>
    <n v="32947.449999999997"/>
    <x v="3"/>
    <s v="Atlantic Ocean"/>
    <s v="Company 12"/>
    <n v="110435"/>
    <n v="5"/>
    <n v="1.1479107743999999"/>
    <n v="657568.57665636996"/>
    <n v="619747.84381236474"/>
    <n v="619747.84381236474"/>
    <n v="1"/>
    <n v="2019"/>
  </r>
  <r>
    <s v="CLM-00098"/>
    <x v="95"/>
    <x v="1"/>
    <n v="573839.54"/>
    <s v="Open"/>
    <n v="573839.54"/>
    <n v="5000000"/>
    <n v="27839.38"/>
    <x v="1"/>
    <s v="Mediterranean Sea"/>
    <s v="Company 8"/>
    <n v="44123"/>
    <n v="3"/>
    <n v="1.0506"/>
    <n v="602875.82072399999"/>
    <n v="573627.76809600007"/>
    <n v="573627.76809600007"/>
    <n v="1"/>
    <n v="2022"/>
  </r>
  <r>
    <s v="CLM-00099"/>
    <x v="96"/>
    <x v="4"/>
    <n v="473839.25"/>
    <s v="Closed"/>
    <n v="473839.25"/>
    <n v="2000000"/>
    <n v="27482.38"/>
    <x v="0"/>
    <s v="Pacific Ocean"/>
    <s v="Company 19"/>
    <n v="36014"/>
    <n v="4"/>
    <n v="1.03"/>
    <n v="488054.42749999999"/>
    <n v="459747.57610000001"/>
    <n v="459747.57610000001"/>
    <n v="1"/>
    <n v="2023"/>
  </r>
  <r>
    <s v="CLM-00100"/>
    <x v="97"/>
    <x v="3"/>
    <n v="5000000"/>
    <s v="In Litigation"/>
    <n v="5000000"/>
    <n v="10000000"/>
    <n v="18723.79"/>
    <x v="3"/>
    <s v="Atlantic Ocean"/>
    <s v="Company 15"/>
    <n v="105704"/>
    <n v="9"/>
    <n v="1.0506"/>
    <n v="5253000"/>
    <n v="5233328.7862259997"/>
    <n v="5233328.7862259997"/>
    <n v="0"/>
    <n v="202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s v="CLM-00039"/>
    <d v="2022-01-10T00:00:00"/>
    <s v="Collision Liability"/>
    <n v="492783.45"/>
    <s v="Closed"/>
    <n v="492783.45"/>
    <n v="2000000"/>
    <n v="19284.28"/>
    <s v="Technical Failure"/>
    <s v="Indian Ocean"/>
    <s v="Company 11"/>
    <n v="76267"/>
    <n v="6"/>
    <n v="1.0506"/>
    <n v="517718.29256999999"/>
    <n v="497458.22800200002"/>
    <n v="497458.22800200002"/>
    <n v="1"/>
    <n v="2022"/>
  </r>
  <r>
    <s v="CLM-00008"/>
    <d v="2022-03-18T00:00:00"/>
    <s v="Damage to Other Vessels"/>
    <n v="913843.77"/>
    <s v="Closed"/>
    <n v="913843.77"/>
    <n v="5000000"/>
    <n v="25600.34"/>
    <s v="Criminal Activity"/>
    <s v="Atlantic Ocean"/>
    <s v="Company 5"/>
    <n v="24158"/>
    <n v="0"/>
    <n v="1.0506"/>
    <n v="960084.26476199995"/>
    <n v="933188.54755800008"/>
    <n v="933188.54755800008"/>
    <n v="1"/>
    <n v="2022"/>
  </r>
  <r>
    <s v="CLM-00072"/>
    <d v="2022-03-28T00:00:00"/>
    <s v="Environmental Pollution"/>
    <n v="739849.45"/>
    <s v="Open"/>
    <n v="739849.45"/>
    <n v="5000000"/>
    <n v="38947.449999999997"/>
    <s v="Natural Disaster"/>
    <s v="Indian Ocean"/>
    <s v="Company 5"/>
    <n v="60020"/>
    <n v="3"/>
    <n v="1.0506"/>
    <n v="777285.83216999995"/>
    <n v="736367.64119999995"/>
    <n v="736367.64119999995"/>
    <n v="1"/>
    <n v="2022"/>
  </r>
  <r>
    <s v="CLM-00098"/>
    <d v="2022-04-14T00:00:00"/>
    <s v="Cargo Liability"/>
    <n v="573839.54"/>
    <s v="Open"/>
    <n v="573839.54"/>
    <n v="5000000"/>
    <n v="27839.38"/>
    <s v="Technical Failure"/>
    <s v="Mediterranean Sea"/>
    <s v="Company 8"/>
    <n v="44123"/>
    <n v="3"/>
    <n v="1.0506"/>
    <n v="602875.82072399999"/>
    <n v="573627.76809600007"/>
    <n v="573627.76809600007"/>
    <n v="1"/>
    <n v="2022"/>
  </r>
  <r>
    <s v="CLM-00092"/>
    <d v="2022-05-23T00:00:00"/>
    <s v="Environmental Pollution"/>
    <n v="739849.45"/>
    <s v="Open"/>
    <n v="739849.45"/>
    <n v="5000000"/>
    <n v="38947.449999999997"/>
    <s v="Natural Disaster"/>
    <s v="Mediterranean Sea"/>
    <s v="Company 17"/>
    <n v="54353"/>
    <n v="6"/>
    <n v="1.0506"/>
    <n v="777285.83216999995"/>
    <n v="736367.64119999995"/>
    <n v="736367.64119999995"/>
    <n v="1"/>
    <n v="2022"/>
  </r>
  <r>
    <s v="CLM-00045"/>
    <d v="2022-06-26T00:00:00"/>
    <s v="Damage to Other Vessels"/>
    <n v="482839.65"/>
    <s v="Closed"/>
    <n v="482839.65"/>
    <n v="5000000"/>
    <n v="35298.639999999999"/>
    <s v="Criminal Activity"/>
    <s v="North Sea"/>
    <s v="Company 7"/>
    <n v="74578"/>
    <n v="1"/>
    <n v="1.0506"/>
    <n v="507271.33629000001"/>
    <n v="470186.58510600001"/>
    <n v="470186.58510600001"/>
    <n v="1"/>
    <n v="2022"/>
  </r>
  <r>
    <s v="CLM-00066"/>
    <d v="2022-07-11T00:00:00"/>
    <s v="Environmental Pollution"/>
    <n v="683849.45"/>
    <s v="Open"/>
    <n v="683849.45"/>
    <n v="5000000"/>
    <n v="29482.45"/>
    <s v="Natural Disaster"/>
    <s v="Mediterranean Sea"/>
    <s v="Company 7"/>
    <n v="64992"/>
    <n v="4"/>
    <n v="1.0506"/>
    <n v="718452.23216999997"/>
    <n v="687477.97019999998"/>
    <n v="687477.97019999998"/>
    <n v="1"/>
    <n v="2022"/>
  </r>
  <r>
    <s v="CLM-00019"/>
    <d v="2022-07-12T00:00:00"/>
    <s v="Cargo Liability"/>
    <n v="195984.65"/>
    <s v="In Litigation"/>
    <n v="195984.65"/>
    <n v="500000"/>
    <n v="19647.189999999999"/>
    <s v="Technical Failure"/>
    <s v="Indian Ocean"/>
    <s v="Company 10"/>
    <n v="55047"/>
    <n v="3"/>
    <n v="1.0506"/>
    <n v="205901.47328999999"/>
    <n v="185260.135476"/>
    <n v="185260.135476"/>
    <n v="1"/>
    <n v="2022"/>
  </r>
  <r>
    <s v="CLM-00055"/>
    <d v="2022-08-12T00:00:00"/>
    <s v="Damage to Other Vessels"/>
    <n v="683849.75"/>
    <s v="Closed"/>
    <n v="683849.75"/>
    <n v="5000000"/>
    <n v="32947.449999999997"/>
    <s v="Criminal Activity"/>
    <s v="Pacific Ocean"/>
    <s v="Company 7"/>
    <n v="66729"/>
    <n v="3"/>
    <n v="1.0506"/>
    <n v="718452.54735000001"/>
    <n v="683837.95637999999"/>
    <n v="683837.95637999999"/>
    <n v="1"/>
    <n v="2022"/>
  </r>
  <r>
    <s v="CLM-00013"/>
    <d v="2022-08-21T00:00:00"/>
    <s v="Collision Liability"/>
    <n v="158738.94"/>
    <s v="In Litigation"/>
    <n v="158738.94"/>
    <n v="1000000"/>
    <n v="29456.11"/>
    <s v="Human Error"/>
    <s v="Indian Ocean"/>
    <s v="Company 13"/>
    <n v="67268"/>
    <n v="3"/>
    <n v="1.0506"/>
    <n v="166771.13036400001"/>
    <n v="135824.54119799999"/>
    <n v="135824.54119799999"/>
    <n v="1"/>
    <n v="2022"/>
  </r>
  <r>
    <s v="CLM-00078"/>
    <d v="2022-09-14T00:00:00"/>
    <s v="Cargo Liability"/>
    <n v="573839.54"/>
    <s v="Open"/>
    <n v="573839.54"/>
    <n v="5000000"/>
    <n v="27839.38"/>
    <s v="Technical Failure"/>
    <s v="Atlantic Ocean"/>
    <s v="Company 11"/>
    <n v="61147"/>
    <n v="3"/>
    <n v="1.0506"/>
    <n v="602875.82072399999"/>
    <n v="573627.76809600007"/>
    <n v="573627.76809600007"/>
    <n v="1"/>
    <n v="2022"/>
  </r>
  <r>
    <s v="CLM-00025"/>
    <d v="2022-09-14T00:00:00"/>
    <s v="Cargo Liability"/>
    <n v="872394.65"/>
    <s v="Closed"/>
    <n v="872394.65"/>
    <n v="10000000"/>
    <n v="24502.38"/>
    <s v="Human Error"/>
    <s v="Mediterranean Sea"/>
    <s v="Company 4"/>
    <n v="14592"/>
    <n v="2"/>
    <n v="1.0506"/>
    <n v="916537.81929000001"/>
    <n v="890795.61886199994"/>
    <n v="890795.61886199994"/>
    <n v="1"/>
    <n v="2022"/>
  </r>
  <r>
    <s v="CLM-00061"/>
    <d v="2022-09-17T00:00:00"/>
    <s v="Environmental Pollution"/>
    <n v="839483.58"/>
    <s v="Open"/>
    <n v="839483.58"/>
    <n v="5000000"/>
    <n v="38947.449999999997"/>
    <s v="Natural Disaster"/>
    <s v="North Sea"/>
    <s v="Company 11"/>
    <n v="96610"/>
    <n v="4"/>
    <n v="1.0506"/>
    <n v="881961.44914799999"/>
    <n v="841043.25817799999"/>
    <n v="841043.25817799999"/>
    <n v="1"/>
    <n v="2022"/>
  </r>
  <r>
    <s v="CLM-00031"/>
    <d v="2022-11-09T00:00:00"/>
    <s v="Damage to Other Vessels"/>
    <n v="439832.24"/>
    <s v="Closed"/>
    <n v="439832.24"/>
    <n v="2000000"/>
    <n v="31803.94"/>
    <s v="Criminal Activity"/>
    <s v="Atlantic Ocean"/>
    <s v="Company 20"/>
    <n v="72739"/>
    <n v="8"/>
    <n v="1.0506"/>
    <n v="462087.75134399999"/>
    <n v="428674.53197999997"/>
    <n v="428674.53197999997"/>
    <n v="1"/>
    <n v="2022"/>
  </r>
  <r>
    <s v="CLM-00088"/>
    <d v="2022-11-19T00:00:00"/>
    <s v="Cargo Liability"/>
    <n v="573839.54"/>
    <s v="Open"/>
    <n v="573839.54"/>
    <n v="5000000"/>
    <n v="27839.38"/>
    <s v="Technical Failure"/>
    <s v="Mediterranean Sea"/>
    <s v="Company 5"/>
    <n v="28327"/>
    <n v="3"/>
    <n v="1.0506"/>
    <n v="602875.82072399999"/>
    <n v="573627.76809600007"/>
    <n v="573627.76809600007"/>
    <n v="1"/>
    <n v="2022"/>
  </r>
  <r>
    <s v="CLM-00049"/>
    <d v="2022-12-21T00:00:00"/>
    <s v="Collision Liability"/>
    <n v="294738.48"/>
    <s v="Closed"/>
    <n v="294738.48"/>
    <n v="2000000"/>
    <n v="18947.53"/>
    <s v="Technical Failure"/>
    <s v="North Sea"/>
    <s v="Company 8"/>
    <n v="32544"/>
    <n v="4"/>
    <n v="1.0506"/>
    <n v="309652.24708799995"/>
    <n v="289745.97206999996"/>
    <n v="289745.97206999996"/>
    <n v="1"/>
    <n v="2022"/>
  </r>
  <r>
    <s v="CLM-00100"/>
    <d v="2022-12-27T00:00:00"/>
    <s v="Environmental Pollution"/>
    <n v="5000000"/>
    <s v="In Litigation"/>
    <n v="5000000"/>
    <n v="10000000"/>
    <n v="18723.79"/>
    <s v="Natural Disaster"/>
    <s v="Atlantic Ocean"/>
    <s v="Company 15"/>
    <n v="105704"/>
    <n v="9"/>
    <n v="1.0506"/>
    <n v="5253000"/>
    <n v="5233328.7862259997"/>
    <n v="5233328.7862259997"/>
    <n v="0"/>
    <n v="20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ADEFFA-54F6-4F7A-9FBE-FC0CF75D1C5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22">
    <pivotField showAll="0"/>
    <pivotField numFmtId="14" showAll="0">
      <items count="99">
        <item x="43"/>
        <item x="25"/>
        <item x="9"/>
        <item x="73"/>
        <item x="15"/>
        <item x="52"/>
        <item x="81"/>
        <item x="2"/>
        <item x="58"/>
        <item x="34"/>
        <item x="94"/>
        <item x="29"/>
        <item x="85"/>
        <item x="63"/>
        <item x="47"/>
        <item x="5"/>
        <item x="68"/>
        <item x="17"/>
        <item x="59"/>
        <item x="0"/>
        <item x="23"/>
        <item x="80"/>
        <item x="39"/>
        <item x="90"/>
        <item x="14"/>
        <item x="53"/>
        <item x="33"/>
        <item x="46"/>
        <item x="67"/>
        <item x="36"/>
        <item x="76"/>
        <item x="93"/>
        <item x="50"/>
        <item x="19"/>
        <item x="27"/>
        <item x="62"/>
        <item x="1"/>
        <item x="79"/>
        <item x="22"/>
        <item x="84"/>
        <item x="42"/>
        <item x="72"/>
        <item x="31"/>
        <item x="56"/>
        <item x="8"/>
        <item x="11"/>
        <item x="88"/>
        <item x="3"/>
        <item x="61"/>
        <item x="49"/>
        <item x="10"/>
        <item x="92"/>
        <item x="16"/>
        <item x="83"/>
        <item x="55"/>
        <item x="32"/>
        <item x="66"/>
        <item x="75"/>
        <item x="6"/>
        <item x="87"/>
        <item x="35"/>
        <item x="45"/>
        <item x="70"/>
        <item x="26"/>
        <item x="40"/>
        <item x="78"/>
        <item x="21"/>
        <item x="38"/>
        <item x="7"/>
        <item x="71"/>
        <item x="95"/>
        <item x="89"/>
        <item x="44"/>
        <item x="65"/>
        <item x="18"/>
        <item x="54"/>
        <item x="12"/>
        <item x="24"/>
        <item x="60"/>
        <item x="30"/>
        <item x="86"/>
        <item x="48"/>
        <item x="97"/>
        <item x="13"/>
        <item x="82"/>
        <item x="64"/>
        <item x="41"/>
        <item x="77"/>
        <item x="57"/>
        <item x="37"/>
        <item x="69"/>
        <item x="74"/>
        <item x="20"/>
        <item x="4"/>
        <item x="91"/>
        <item x="28"/>
        <item x="51"/>
        <item x="96"/>
        <item t="default"/>
      </items>
    </pivotField>
    <pivotField showAll="0"/>
    <pivotField numFmtId="165" showAll="0"/>
    <pivotField showAll="0"/>
    <pivotField numFmtId="165" showAll="0"/>
    <pivotField numFmtId="164" showAll="0"/>
    <pivotField numFmtId="165" showAll="0"/>
    <pivotField showAll="0"/>
    <pivotField showAll="0"/>
    <pivotField showAll="0"/>
    <pivotField showAll="0"/>
    <pivotField showAll="0"/>
    <pivotField showAll="0"/>
    <pivotField dataField="1" numFmtId="165" showAll="0"/>
    <pivotField numFmtId="165" showAll="0"/>
    <pivotField numFmtId="165"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Items count="1">
    <i/>
  </colItems>
  <dataFields count="1">
    <dataField name="Average of Gross inflation adjusted claim " fld="14" subtotal="average" baseField="0" baseItem="0" numFmtId="165"/>
  </dataFields>
  <formats count="2">
    <format dxfId="11">
      <pivotArea dataOnly="0" labelOnly="1" outline="0" axis="axisValues" fieldPosition="0"/>
    </format>
    <format dxfId="1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D3ECC7-01E5-46C6-9D0B-0F2870DBA00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6:B52" firstHeaderRow="1" firstDataRow="1" firstDataCol="1"/>
  <pivotFields count="22">
    <pivotField showAll="0"/>
    <pivotField numFmtId="14" showAll="0">
      <items count="99">
        <item x="43"/>
        <item x="25"/>
        <item x="9"/>
        <item x="73"/>
        <item x="15"/>
        <item x="52"/>
        <item x="81"/>
        <item x="2"/>
        <item x="58"/>
        <item x="34"/>
        <item x="94"/>
        <item x="29"/>
        <item x="85"/>
        <item x="63"/>
        <item x="47"/>
        <item x="5"/>
        <item x="68"/>
        <item x="17"/>
        <item x="59"/>
        <item x="0"/>
        <item x="23"/>
        <item x="80"/>
        <item x="39"/>
        <item x="90"/>
        <item x="14"/>
        <item x="53"/>
        <item x="33"/>
        <item x="46"/>
        <item x="67"/>
        <item x="36"/>
        <item x="76"/>
        <item x="93"/>
        <item x="50"/>
        <item x="19"/>
        <item x="27"/>
        <item x="62"/>
        <item x="1"/>
        <item x="79"/>
        <item x="22"/>
        <item x="84"/>
        <item x="42"/>
        <item x="72"/>
        <item x="31"/>
        <item x="56"/>
        <item x="8"/>
        <item x="11"/>
        <item x="88"/>
        <item x="3"/>
        <item x="61"/>
        <item x="49"/>
        <item x="10"/>
        <item x="92"/>
        <item x="16"/>
        <item x="83"/>
        <item x="55"/>
        <item x="32"/>
        <item x="66"/>
        <item x="75"/>
        <item x="6"/>
        <item x="87"/>
        <item x="35"/>
        <item x="45"/>
        <item x="70"/>
        <item x="26"/>
        <item x="40"/>
        <item x="78"/>
        <item x="21"/>
        <item x="38"/>
        <item x="7"/>
        <item x="71"/>
        <item x="95"/>
        <item x="89"/>
        <item x="44"/>
        <item x="65"/>
        <item x="18"/>
        <item x="54"/>
        <item x="12"/>
        <item x="24"/>
        <item x="60"/>
        <item x="30"/>
        <item x="86"/>
        <item x="48"/>
        <item x="97"/>
        <item x="13"/>
        <item x="82"/>
        <item x="64"/>
        <item x="41"/>
        <item x="77"/>
        <item x="57"/>
        <item x="37"/>
        <item x="69"/>
        <item x="74"/>
        <item x="20"/>
        <item x="4"/>
        <item x="91"/>
        <item x="28"/>
        <item x="51"/>
        <item x="96"/>
        <item t="default"/>
      </items>
    </pivotField>
    <pivotField axis="axisRow" showAll="0">
      <items count="6">
        <item x="1"/>
        <item x="0"/>
        <item x="2"/>
        <item x="3"/>
        <item x="4"/>
        <item t="default"/>
      </items>
    </pivotField>
    <pivotField numFmtId="165" showAll="0"/>
    <pivotField showAll="0"/>
    <pivotField dataField="1" numFmtId="165" showAll="0"/>
    <pivotField numFmtId="164" showAll="0"/>
    <pivotField numFmtId="165" showAll="0"/>
    <pivotField showAll="0"/>
    <pivotField showAll="0"/>
    <pivotField showAll="0"/>
    <pivotField showAll="0"/>
    <pivotField showAll="0"/>
    <pivotField showAll="0"/>
    <pivotField numFmtId="165" showAll="0"/>
    <pivotField numFmtId="165" showAll="0"/>
    <pivotField numFmtId="165" showAll="0"/>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2"/>
  </rowFields>
  <rowItems count="6">
    <i>
      <x/>
    </i>
    <i>
      <x v="1"/>
    </i>
    <i>
      <x v="2"/>
    </i>
    <i>
      <x v="3"/>
    </i>
    <i>
      <x v="4"/>
    </i>
    <i t="grand">
      <x/>
    </i>
  </rowItems>
  <colItems count="1">
    <i/>
  </colItems>
  <dataFields count="1">
    <dataField name="Average of Gross claim amount " fld="5" subtotal="average" baseField="2"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A21233-BD1D-4336-95E4-343C1C52626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4:B91" firstHeaderRow="1" firstDataRow="1" firstDataCol="1"/>
  <pivotFields count="22">
    <pivotField showAll="0"/>
    <pivotField axis="axisRow" numFmtId="14" showAll="0">
      <items count="99">
        <item x="43"/>
        <item x="25"/>
        <item x="9"/>
        <item x="73"/>
        <item x="15"/>
        <item x="52"/>
        <item x="81"/>
        <item x="2"/>
        <item x="58"/>
        <item x="34"/>
        <item x="94"/>
        <item x="29"/>
        <item x="85"/>
        <item x="63"/>
        <item x="47"/>
        <item x="5"/>
        <item x="68"/>
        <item x="17"/>
        <item x="59"/>
        <item x="0"/>
        <item x="23"/>
        <item x="80"/>
        <item x="39"/>
        <item x="90"/>
        <item x="14"/>
        <item x="53"/>
        <item x="33"/>
        <item x="46"/>
        <item x="67"/>
        <item x="36"/>
        <item x="76"/>
        <item x="93"/>
        <item x="50"/>
        <item x="19"/>
        <item x="27"/>
        <item x="62"/>
        <item x="1"/>
        <item x="79"/>
        <item x="22"/>
        <item x="84"/>
        <item x="42"/>
        <item x="72"/>
        <item x="31"/>
        <item x="56"/>
        <item x="8"/>
        <item x="11"/>
        <item x="88"/>
        <item x="3"/>
        <item x="61"/>
        <item x="49"/>
        <item x="10"/>
        <item x="92"/>
        <item x="16"/>
        <item x="83"/>
        <item x="55"/>
        <item x="32"/>
        <item x="66"/>
        <item x="75"/>
        <item x="6"/>
        <item x="87"/>
        <item x="35"/>
        <item x="45"/>
        <item x="70"/>
        <item x="26"/>
        <item x="40"/>
        <item x="78"/>
        <item x="21"/>
        <item x="38"/>
        <item x="7"/>
        <item x="71"/>
        <item x="95"/>
        <item x="89"/>
        <item x="44"/>
        <item x="65"/>
        <item x="18"/>
        <item x="54"/>
        <item x="12"/>
        <item x="24"/>
        <item x="60"/>
        <item x="30"/>
        <item x="86"/>
        <item x="48"/>
        <item x="97"/>
        <item x="13"/>
        <item x="82"/>
        <item x="64"/>
        <item x="41"/>
        <item x="77"/>
        <item x="57"/>
        <item x="37"/>
        <item x="69"/>
        <item x="74"/>
        <item x="20"/>
        <item x="4"/>
        <item x="91"/>
        <item x="28"/>
        <item x="51"/>
        <item x="96"/>
        <item t="default"/>
      </items>
    </pivotField>
    <pivotField showAll="0"/>
    <pivotField numFmtId="165" showAll="0"/>
    <pivotField showAll="0"/>
    <pivotField numFmtId="165" showAll="0"/>
    <pivotField numFmtId="164" showAll="0"/>
    <pivotField numFmtId="165" showAll="0"/>
    <pivotField dataField="1" showAll="0"/>
    <pivotField showAll="0"/>
    <pivotField showAll="0"/>
    <pivotField showAll="0"/>
    <pivotField showAll="0"/>
    <pivotField showAll="0"/>
    <pivotField numFmtId="165" showAll="0"/>
    <pivotField numFmtId="165" showAll="0"/>
    <pivotField numFmtId="165"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8">
        <item sd="0" x="0"/>
        <item sd="0" x="1"/>
        <item sd="0" x="2"/>
        <item sd="0" x="3"/>
        <item sd="0" x="4"/>
        <item sd="0" x="5"/>
        <item sd="0" x="6"/>
        <item sd="0" x="7"/>
      </items>
    </pivotField>
  </pivotFields>
  <rowFields count="4">
    <field x="21"/>
    <field x="20"/>
    <field x="19"/>
    <field x="1"/>
  </rowFields>
  <rowItems count="7">
    <i>
      <x v="1"/>
    </i>
    <i>
      <x v="2"/>
    </i>
    <i>
      <x v="3"/>
    </i>
    <i>
      <x v="4"/>
    </i>
    <i>
      <x v="5"/>
    </i>
    <i>
      <x v="6"/>
    </i>
    <i t="grand">
      <x/>
    </i>
  </rowItems>
  <colItems count="1">
    <i/>
  </colItems>
  <dataFields count="1">
    <dataField name="Count of Cause of Loss"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6B2876-D730-482B-8EFA-E58337001E5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2">
    <pivotField showAll="0"/>
    <pivotField numFmtId="14" showAll="0">
      <items count="99">
        <item x="43"/>
        <item x="25"/>
        <item x="9"/>
        <item x="73"/>
        <item x="15"/>
        <item x="52"/>
        <item x="81"/>
        <item x="2"/>
        <item x="58"/>
        <item x="34"/>
        <item x="94"/>
        <item x="29"/>
        <item x="85"/>
        <item x="63"/>
        <item x="47"/>
        <item x="5"/>
        <item x="68"/>
        <item x="17"/>
        <item x="59"/>
        <item x="0"/>
        <item x="23"/>
        <item x="80"/>
        <item x="39"/>
        <item x="90"/>
        <item x="14"/>
        <item x="53"/>
        <item x="33"/>
        <item x="46"/>
        <item x="67"/>
        <item x="36"/>
        <item x="76"/>
        <item x="93"/>
        <item x="50"/>
        <item x="19"/>
        <item x="27"/>
        <item x="62"/>
        <item x="1"/>
        <item x="79"/>
        <item x="22"/>
        <item x="84"/>
        <item x="42"/>
        <item x="72"/>
        <item x="31"/>
        <item x="56"/>
        <item x="8"/>
        <item x="11"/>
        <item x="88"/>
        <item x="3"/>
        <item x="61"/>
        <item x="49"/>
        <item x="10"/>
        <item x="92"/>
        <item x="16"/>
        <item x="83"/>
        <item x="55"/>
        <item x="32"/>
        <item x="66"/>
        <item x="75"/>
        <item x="6"/>
        <item x="87"/>
        <item x="35"/>
        <item x="45"/>
        <item x="70"/>
        <item x="26"/>
        <item x="40"/>
        <item x="78"/>
        <item x="21"/>
        <item x="38"/>
        <item x="7"/>
        <item x="71"/>
        <item x="95"/>
        <item x="89"/>
        <item x="44"/>
        <item x="65"/>
        <item x="18"/>
        <item x="54"/>
        <item x="12"/>
        <item x="24"/>
        <item x="60"/>
        <item x="30"/>
        <item x="86"/>
        <item x="48"/>
        <item x="97"/>
        <item x="13"/>
        <item x="82"/>
        <item x="64"/>
        <item x="41"/>
        <item x="77"/>
        <item x="57"/>
        <item x="37"/>
        <item x="69"/>
        <item x="74"/>
        <item x="20"/>
        <item x="4"/>
        <item x="91"/>
        <item x="28"/>
        <item x="51"/>
        <item x="96"/>
        <item t="default"/>
      </items>
    </pivotField>
    <pivotField showAll="0"/>
    <pivotField numFmtId="165" showAll="0"/>
    <pivotField showAll="0"/>
    <pivotField dataField="1" numFmtId="165" showAll="0"/>
    <pivotField numFmtId="164" showAll="0"/>
    <pivotField numFmtId="165" showAll="0"/>
    <pivotField showAll="0"/>
    <pivotField showAll="0"/>
    <pivotField showAll="0"/>
    <pivotField showAll="0"/>
    <pivotField showAll="0"/>
    <pivotField showAll="0"/>
    <pivotField numFmtId="165" showAll="0"/>
    <pivotField numFmtId="165" showAll="0"/>
    <pivotField numFmtId="165"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Items count="1">
    <i/>
  </colItems>
  <dataFields count="1">
    <dataField name="Average of Gross claim amount " fld="5" subtotal="average" baseField="0" baseItem="0" numFmtId="165"/>
  </dataFields>
  <formats count="3">
    <format dxfId="14">
      <pivotArea dataOnly="0" labelOnly="1" outline="0" axis="axisValues" fieldPosition="0"/>
    </format>
    <format dxfId="13">
      <pivotArea dataOnly="0" labelOnly="1" outline="0" axis="axisValues"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145B1C-2778-4256-A50C-2DBF9998311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6:B42" firstHeaderRow="1" firstDataRow="1" firstDataCol="1"/>
  <pivotFields count="22">
    <pivotField dataField="1" showAll="0"/>
    <pivotField numFmtId="14" showAll="0">
      <items count="99">
        <item x="43"/>
        <item x="25"/>
        <item x="9"/>
        <item x="73"/>
        <item x="15"/>
        <item x="52"/>
        <item x="81"/>
        <item x="2"/>
        <item x="58"/>
        <item x="34"/>
        <item x="94"/>
        <item x="29"/>
        <item x="85"/>
        <item x="63"/>
        <item x="47"/>
        <item x="5"/>
        <item x="68"/>
        <item x="17"/>
        <item x="59"/>
        <item x="0"/>
        <item x="23"/>
        <item x="80"/>
        <item x="39"/>
        <item x="90"/>
        <item x="14"/>
        <item x="53"/>
        <item x="33"/>
        <item x="46"/>
        <item x="67"/>
        <item x="36"/>
        <item x="76"/>
        <item x="93"/>
        <item x="50"/>
        <item x="19"/>
        <item x="27"/>
        <item x="62"/>
        <item x="1"/>
        <item x="79"/>
        <item x="22"/>
        <item x="84"/>
        <item x="42"/>
        <item x="72"/>
        <item x="31"/>
        <item x="56"/>
        <item x="8"/>
        <item x="11"/>
        <item x="88"/>
        <item x="3"/>
        <item x="61"/>
        <item x="49"/>
        <item x="10"/>
        <item x="92"/>
        <item x="16"/>
        <item x="83"/>
        <item x="55"/>
        <item x="32"/>
        <item x="66"/>
        <item x="75"/>
        <item x="6"/>
        <item x="87"/>
        <item x="35"/>
        <item x="45"/>
        <item x="70"/>
        <item x="26"/>
        <item x="40"/>
        <item x="78"/>
        <item x="21"/>
        <item x="38"/>
        <item x="7"/>
        <item x="71"/>
        <item x="95"/>
        <item x="89"/>
        <item x="44"/>
        <item x="65"/>
        <item x="18"/>
        <item x="54"/>
        <item x="12"/>
        <item x="24"/>
        <item x="60"/>
        <item x="30"/>
        <item x="86"/>
        <item x="48"/>
        <item x="97"/>
        <item x="13"/>
        <item x="82"/>
        <item x="64"/>
        <item x="41"/>
        <item x="77"/>
        <item x="57"/>
        <item x="37"/>
        <item x="69"/>
        <item x="74"/>
        <item x="20"/>
        <item x="4"/>
        <item x="91"/>
        <item x="28"/>
        <item x="51"/>
        <item x="96"/>
        <item t="default"/>
      </items>
    </pivotField>
    <pivotField axis="axisRow" showAll="0">
      <items count="6">
        <item x="1"/>
        <item x="0"/>
        <item x="2"/>
        <item x="3"/>
        <item x="4"/>
        <item t="default"/>
      </items>
    </pivotField>
    <pivotField numFmtId="165" showAll="0"/>
    <pivotField showAll="0"/>
    <pivotField numFmtId="165" showAll="0"/>
    <pivotField numFmtId="164" showAll="0"/>
    <pivotField numFmtId="165" showAll="0"/>
    <pivotField showAll="0"/>
    <pivotField showAll="0"/>
    <pivotField showAll="0"/>
    <pivotField showAll="0"/>
    <pivotField showAll="0"/>
    <pivotField showAll="0"/>
    <pivotField numFmtId="165" showAll="0"/>
    <pivotField numFmtId="165" showAll="0"/>
    <pivotField numFmtId="165" showAll="0"/>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2"/>
  </rowFields>
  <rowItems count="6">
    <i>
      <x/>
    </i>
    <i>
      <x v="1"/>
    </i>
    <i>
      <x v="2"/>
    </i>
    <i>
      <x v="3"/>
    </i>
    <i>
      <x v="4"/>
    </i>
    <i t="grand">
      <x/>
    </i>
  </rowItems>
  <colItems count="1">
    <i/>
  </colItems>
  <dataFields count="1">
    <dataField name="Count of Claim ID"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DDC4CC-A7C9-4909-8016-700E003E761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3:B78" firstHeaderRow="1" firstDataRow="1" firstDataCol="1"/>
  <pivotFields count="22">
    <pivotField showAll="0"/>
    <pivotField numFmtId="14" showAll="0">
      <items count="99">
        <item x="43"/>
        <item x="25"/>
        <item x="9"/>
        <item x="73"/>
        <item x="15"/>
        <item x="52"/>
        <item x="81"/>
        <item x="2"/>
        <item x="58"/>
        <item x="34"/>
        <item x="94"/>
        <item x="29"/>
        <item x="85"/>
        <item x="63"/>
        <item x="47"/>
        <item x="5"/>
        <item x="68"/>
        <item x="17"/>
        <item x="59"/>
        <item x="0"/>
        <item x="23"/>
        <item x="80"/>
        <item x="39"/>
        <item x="90"/>
        <item x="14"/>
        <item x="53"/>
        <item x="33"/>
        <item x="46"/>
        <item x="67"/>
        <item x="36"/>
        <item x="76"/>
        <item x="93"/>
        <item x="50"/>
        <item x="19"/>
        <item x="27"/>
        <item x="62"/>
        <item x="1"/>
        <item x="79"/>
        <item x="22"/>
        <item x="84"/>
        <item x="42"/>
        <item x="72"/>
        <item x="31"/>
        <item x="56"/>
        <item x="8"/>
        <item x="11"/>
        <item x="88"/>
        <item x="3"/>
        <item x="61"/>
        <item x="49"/>
        <item x="10"/>
        <item x="92"/>
        <item x="16"/>
        <item x="83"/>
        <item x="55"/>
        <item x="32"/>
        <item x="66"/>
        <item x="75"/>
        <item x="6"/>
        <item x="87"/>
        <item x="35"/>
        <item x="45"/>
        <item x="70"/>
        <item x="26"/>
        <item x="40"/>
        <item x="78"/>
        <item x="21"/>
        <item x="38"/>
        <item x="7"/>
        <item x="71"/>
        <item x="95"/>
        <item x="89"/>
        <item x="44"/>
        <item x="65"/>
        <item x="18"/>
        <item x="54"/>
        <item x="12"/>
        <item x="24"/>
        <item x="60"/>
        <item x="30"/>
        <item x="86"/>
        <item x="48"/>
        <item x="97"/>
        <item x="13"/>
        <item x="82"/>
        <item x="64"/>
        <item x="41"/>
        <item x="77"/>
        <item x="57"/>
        <item x="37"/>
        <item x="69"/>
        <item x="74"/>
        <item x="20"/>
        <item x="4"/>
        <item x="91"/>
        <item x="28"/>
        <item x="51"/>
        <item x="96"/>
        <item t="default"/>
      </items>
    </pivotField>
    <pivotField showAll="0"/>
    <pivotField numFmtId="165" showAll="0"/>
    <pivotField showAll="0"/>
    <pivotField numFmtId="165" showAll="0"/>
    <pivotField numFmtId="164" showAll="0"/>
    <pivotField numFmtId="165" showAll="0"/>
    <pivotField axis="axisRow" showAll="0">
      <items count="5">
        <item x="2"/>
        <item x="0"/>
        <item x="3"/>
        <item x="1"/>
        <item t="default"/>
      </items>
    </pivotField>
    <pivotField showAll="0"/>
    <pivotField showAll="0"/>
    <pivotField showAll="0"/>
    <pivotField showAll="0"/>
    <pivotField showAll="0"/>
    <pivotField dataField="1" numFmtId="165" showAll="0"/>
    <pivotField numFmtId="165" showAll="0"/>
    <pivotField numFmtId="165" showAll="0"/>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8"/>
  </rowFields>
  <rowItems count="5">
    <i>
      <x/>
    </i>
    <i>
      <x v="1"/>
    </i>
    <i>
      <x v="2"/>
    </i>
    <i>
      <x v="3"/>
    </i>
    <i t="grand">
      <x/>
    </i>
  </rowItems>
  <colItems count="1">
    <i/>
  </colItems>
  <dataFields count="1">
    <dataField name="Average of Gross inflation adjusted claim " fld="14" subtotal="average" baseField="8"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EEEF14-8496-41B0-A528-CE510107D86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6:B32" firstHeaderRow="1" firstDataRow="1" firstDataCol="1"/>
  <pivotFields count="22">
    <pivotField showAll="0"/>
    <pivotField numFmtId="14" showAll="0">
      <items count="99">
        <item x="43"/>
        <item x="25"/>
        <item x="9"/>
        <item x="73"/>
        <item x="15"/>
        <item x="52"/>
        <item x="81"/>
        <item x="2"/>
        <item x="58"/>
        <item x="34"/>
        <item x="94"/>
        <item x="29"/>
        <item x="85"/>
        <item x="63"/>
        <item x="47"/>
        <item x="5"/>
        <item x="68"/>
        <item x="17"/>
        <item x="59"/>
        <item x="0"/>
        <item x="23"/>
        <item x="80"/>
        <item x="39"/>
        <item x="90"/>
        <item x="14"/>
        <item x="53"/>
        <item x="33"/>
        <item x="46"/>
        <item x="67"/>
        <item x="36"/>
        <item x="76"/>
        <item x="93"/>
        <item x="50"/>
        <item x="19"/>
        <item x="27"/>
        <item x="62"/>
        <item x="1"/>
        <item x="79"/>
        <item x="22"/>
        <item x="84"/>
        <item x="42"/>
        <item x="72"/>
        <item x="31"/>
        <item x="56"/>
        <item x="8"/>
        <item x="11"/>
        <item x="88"/>
        <item x="3"/>
        <item x="61"/>
        <item x="49"/>
        <item x="10"/>
        <item x="92"/>
        <item x="16"/>
        <item x="83"/>
        <item x="55"/>
        <item x="32"/>
        <item x="66"/>
        <item x="75"/>
        <item x="6"/>
        <item x="87"/>
        <item x="35"/>
        <item x="45"/>
        <item x="70"/>
        <item x="26"/>
        <item x="40"/>
        <item x="78"/>
        <item x="21"/>
        <item x="38"/>
        <item x="7"/>
        <item x="71"/>
        <item x="95"/>
        <item x="89"/>
        <item x="44"/>
        <item x="65"/>
        <item x="18"/>
        <item x="54"/>
        <item x="12"/>
        <item x="24"/>
        <item x="60"/>
        <item x="30"/>
        <item x="86"/>
        <item x="48"/>
        <item x="97"/>
        <item x="13"/>
        <item x="82"/>
        <item x="64"/>
        <item x="41"/>
        <item x="77"/>
        <item x="57"/>
        <item x="37"/>
        <item x="69"/>
        <item x="74"/>
        <item x="20"/>
        <item x="4"/>
        <item x="91"/>
        <item x="28"/>
        <item x="51"/>
        <item x="96"/>
        <item t="default"/>
      </items>
    </pivotField>
    <pivotField axis="axisRow" showAll="0">
      <items count="6">
        <item x="1"/>
        <item x="0"/>
        <item x="2"/>
        <item x="3"/>
        <item x="4"/>
        <item t="default"/>
      </items>
    </pivotField>
    <pivotField numFmtId="165" showAll="0"/>
    <pivotField showAll="0"/>
    <pivotField numFmtId="165" showAll="0"/>
    <pivotField numFmtId="164" showAll="0"/>
    <pivotField numFmtId="165" showAll="0"/>
    <pivotField showAll="0"/>
    <pivotField showAll="0"/>
    <pivotField showAll="0"/>
    <pivotField showAll="0"/>
    <pivotField showAll="0"/>
    <pivotField showAll="0"/>
    <pivotField numFmtId="165" showAll="0"/>
    <pivotField dataField="1" numFmtId="165" showAll="0"/>
    <pivotField numFmtId="165" showAll="0"/>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2"/>
  </rowFields>
  <rowItems count="6">
    <i>
      <x/>
    </i>
    <i>
      <x v="1"/>
    </i>
    <i>
      <x v="2"/>
    </i>
    <i>
      <x v="3"/>
    </i>
    <i>
      <x v="4"/>
    </i>
    <i t="grand">
      <x/>
    </i>
  </rowItems>
  <colItems count="1">
    <i/>
  </colItems>
  <dataFields count="1">
    <dataField name="Sum of Net inflation adjusted claim " fld="15"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77645AD-B4CD-4D6A-99D6-D50C7D839CD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5:B70" firstHeaderRow="1" firstDataRow="1" firstDataCol="1"/>
  <pivotFields count="22">
    <pivotField dataField="1" showAll="0"/>
    <pivotField numFmtId="14" showAll="0">
      <items count="99">
        <item x="43"/>
        <item x="25"/>
        <item x="9"/>
        <item x="73"/>
        <item x="15"/>
        <item x="52"/>
        <item x="81"/>
        <item x="2"/>
        <item x="58"/>
        <item x="34"/>
        <item x="94"/>
        <item x="29"/>
        <item x="85"/>
        <item x="63"/>
        <item x="47"/>
        <item x="5"/>
        <item x="68"/>
        <item x="17"/>
        <item x="59"/>
        <item x="0"/>
        <item x="23"/>
        <item x="80"/>
        <item x="39"/>
        <item x="90"/>
        <item x="14"/>
        <item x="53"/>
        <item x="33"/>
        <item x="46"/>
        <item x="67"/>
        <item x="36"/>
        <item x="76"/>
        <item x="93"/>
        <item x="50"/>
        <item x="19"/>
        <item x="27"/>
        <item x="62"/>
        <item x="1"/>
        <item x="79"/>
        <item x="22"/>
        <item x="84"/>
        <item x="42"/>
        <item x="72"/>
        <item x="31"/>
        <item x="56"/>
        <item x="8"/>
        <item x="11"/>
        <item x="88"/>
        <item x="3"/>
        <item x="61"/>
        <item x="49"/>
        <item x="10"/>
        <item x="92"/>
        <item x="16"/>
        <item x="83"/>
        <item x="55"/>
        <item x="32"/>
        <item x="66"/>
        <item x="75"/>
        <item x="6"/>
        <item x="87"/>
        <item x="35"/>
        <item x="45"/>
        <item x="70"/>
        <item x="26"/>
        <item x="40"/>
        <item x="78"/>
        <item x="21"/>
        <item x="38"/>
        <item x="7"/>
        <item x="71"/>
        <item x="95"/>
        <item x="89"/>
        <item x="44"/>
        <item x="65"/>
        <item x="18"/>
        <item x="54"/>
        <item x="12"/>
        <item x="24"/>
        <item x="60"/>
        <item x="30"/>
        <item x="86"/>
        <item x="48"/>
        <item x="97"/>
        <item x="13"/>
        <item x="82"/>
        <item x="64"/>
        <item x="41"/>
        <item x="77"/>
        <item x="57"/>
        <item x="37"/>
        <item x="69"/>
        <item x="74"/>
        <item x="20"/>
        <item x="4"/>
        <item x="91"/>
        <item x="28"/>
        <item x="51"/>
        <item x="96"/>
        <item t="default"/>
      </items>
    </pivotField>
    <pivotField showAll="0"/>
    <pivotField numFmtId="165" showAll="0"/>
    <pivotField showAll="0"/>
    <pivotField numFmtId="165" showAll="0"/>
    <pivotField numFmtId="164" showAll="0"/>
    <pivotField numFmtId="165" showAll="0"/>
    <pivotField axis="axisRow" showAll="0">
      <items count="5">
        <item x="2"/>
        <item x="0"/>
        <item x="3"/>
        <item x="1"/>
        <item t="default"/>
      </items>
    </pivotField>
    <pivotField showAll="0"/>
    <pivotField showAll="0"/>
    <pivotField showAll="0"/>
    <pivotField showAll="0"/>
    <pivotField showAll="0"/>
    <pivotField numFmtId="165" showAll="0"/>
    <pivotField numFmtId="165" showAll="0"/>
    <pivotField numFmtId="165" showAll="0"/>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8"/>
  </rowFields>
  <rowItems count="5">
    <i>
      <x/>
    </i>
    <i>
      <x v="1"/>
    </i>
    <i>
      <x v="2"/>
    </i>
    <i>
      <x v="3"/>
    </i>
    <i t="grand">
      <x/>
    </i>
  </rowItems>
  <colItems count="1">
    <i/>
  </colItems>
  <dataFields count="1">
    <dataField name="Count of Claim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88DB09D-0153-4EA6-B934-E8EC24D90B7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5:B22" firstHeaderRow="1" firstDataRow="1" firstDataCol="1"/>
  <pivotFields count="22">
    <pivotField showAll="0"/>
    <pivotField axis="axisRow" numFmtId="14" showAll="0">
      <items count="99">
        <item x="43"/>
        <item x="25"/>
        <item x="9"/>
        <item x="73"/>
        <item x="15"/>
        <item x="52"/>
        <item x="81"/>
        <item x="2"/>
        <item x="58"/>
        <item x="34"/>
        <item x="94"/>
        <item x="29"/>
        <item x="85"/>
        <item x="63"/>
        <item x="47"/>
        <item x="5"/>
        <item x="68"/>
        <item x="17"/>
        <item x="59"/>
        <item x="0"/>
        <item x="23"/>
        <item x="80"/>
        <item x="39"/>
        <item x="90"/>
        <item x="14"/>
        <item x="53"/>
        <item x="33"/>
        <item x="46"/>
        <item x="67"/>
        <item x="36"/>
        <item x="76"/>
        <item x="93"/>
        <item x="50"/>
        <item x="19"/>
        <item x="27"/>
        <item x="62"/>
        <item x="1"/>
        <item x="79"/>
        <item x="22"/>
        <item x="84"/>
        <item x="42"/>
        <item x="72"/>
        <item x="31"/>
        <item x="56"/>
        <item x="8"/>
        <item x="11"/>
        <item x="88"/>
        <item x="3"/>
        <item x="61"/>
        <item x="49"/>
        <item x="10"/>
        <item x="92"/>
        <item x="16"/>
        <item x="83"/>
        <item x="55"/>
        <item x="32"/>
        <item x="66"/>
        <item x="75"/>
        <item x="6"/>
        <item x="87"/>
        <item x="35"/>
        <item x="45"/>
        <item x="70"/>
        <item x="26"/>
        <item x="40"/>
        <item x="78"/>
        <item x="21"/>
        <item x="38"/>
        <item x="7"/>
        <item x="71"/>
        <item x="95"/>
        <item x="89"/>
        <item x="44"/>
        <item x="65"/>
        <item x="18"/>
        <item x="54"/>
        <item x="12"/>
        <item x="24"/>
        <item x="60"/>
        <item x="30"/>
        <item x="86"/>
        <item x="48"/>
        <item x="97"/>
        <item x="13"/>
        <item x="82"/>
        <item x="64"/>
        <item x="41"/>
        <item x="77"/>
        <item x="57"/>
        <item x="37"/>
        <item x="69"/>
        <item x="74"/>
        <item x="20"/>
        <item x="4"/>
        <item x="91"/>
        <item x="28"/>
        <item x="51"/>
        <item x="96"/>
        <item t="default"/>
      </items>
    </pivotField>
    <pivotField showAll="0"/>
    <pivotField numFmtId="165" showAll="0"/>
    <pivotField showAll="0"/>
    <pivotField numFmtId="165" showAll="0"/>
    <pivotField numFmtId="164" showAll="0"/>
    <pivotField numFmtId="165" showAll="0"/>
    <pivotField showAll="0"/>
    <pivotField showAll="0"/>
    <pivotField showAll="0"/>
    <pivotField showAll="0"/>
    <pivotField showAll="0"/>
    <pivotField showAll="0"/>
    <pivotField dataField="1" numFmtId="165" showAll="0"/>
    <pivotField numFmtId="165" showAll="0"/>
    <pivotField numFmtId="165"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9">
        <item sd="0" x="0"/>
        <item sd="0" x="1"/>
        <item sd="0" x="2"/>
        <item sd="0" x="3"/>
        <item sd="0" x="4"/>
        <item sd="0" x="5"/>
        <item sd="0" x="6"/>
        <item sd="0" x="7"/>
        <item t="default"/>
      </items>
    </pivotField>
  </pivotFields>
  <rowFields count="4">
    <field x="21"/>
    <field x="20"/>
    <field x="19"/>
    <field x="1"/>
  </rowFields>
  <rowItems count="7">
    <i>
      <x v="1"/>
    </i>
    <i>
      <x v="2"/>
    </i>
    <i>
      <x v="3"/>
    </i>
    <i>
      <x v="4"/>
    </i>
    <i>
      <x v="5"/>
    </i>
    <i>
      <x v="6"/>
    </i>
    <i t="grand">
      <x/>
    </i>
  </rowItems>
  <colItems count="1">
    <i/>
  </colItems>
  <dataFields count="1">
    <dataField name="Average of Gross inflation adjusted claim" fld="14" subtotal="average" baseField="21" baseItem="1"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BD084D3-0011-4D2A-B560-AE409BA1B28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6:B61" firstHeaderRow="1" firstDataRow="1" firstDataCol="1"/>
  <pivotFields count="22">
    <pivotField showAll="0"/>
    <pivotField numFmtId="14" showAll="0">
      <items count="99">
        <item x="43"/>
        <item x="25"/>
        <item x="9"/>
        <item x="73"/>
        <item x="15"/>
        <item x="52"/>
        <item x="81"/>
        <item x="2"/>
        <item x="58"/>
        <item x="34"/>
        <item x="94"/>
        <item x="29"/>
        <item x="85"/>
        <item x="63"/>
        <item x="47"/>
        <item x="5"/>
        <item x="68"/>
        <item x="17"/>
        <item x="59"/>
        <item x="0"/>
        <item x="23"/>
        <item x="80"/>
        <item x="39"/>
        <item x="90"/>
        <item x="14"/>
        <item x="53"/>
        <item x="33"/>
        <item x="46"/>
        <item x="67"/>
        <item x="36"/>
        <item x="76"/>
        <item x="93"/>
        <item x="50"/>
        <item x="19"/>
        <item x="27"/>
        <item x="62"/>
        <item x="1"/>
        <item x="79"/>
        <item x="22"/>
        <item x="84"/>
        <item x="42"/>
        <item x="72"/>
        <item x="31"/>
        <item x="56"/>
        <item x="8"/>
        <item x="11"/>
        <item x="88"/>
        <item x="3"/>
        <item x="61"/>
        <item x="49"/>
        <item x="10"/>
        <item x="92"/>
        <item x="16"/>
        <item x="83"/>
        <item x="55"/>
        <item x="32"/>
        <item x="66"/>
        <item x="75"/>
        <item x="6"/>
        <item x="87"/>
        <item x="35"/>
        <item x="45"/>
        <item x="70"/>
        <item x="26"/>
        <item x="40"/>
        <item x="78"/>
        <item x="21"/>
        <item x="38"/>
        <item x="7"/>
        <item x="71"/>
        <item x="95"/>
        <item x="89"/>
        <item x="44"/>
        <item x="65"/>
        <item x="18"/>
        <item x="54"/>
        <item x="12"/>
        <item x="24"/>
        <item x="60"/>
        <item x="30"/>
        <item x="86"/>
        <item x="48"/>
        <item x="97"/>
        <item x="13"/>
        <item x="82"/>
        <item x="64"/>
        <item x="41"/>
        <item x="77"/>
        <item x="57"/>
        <item x="37"/>
        <item x="69"/>
        <item x="74"/>
        <item x="20"/>
        <item x="4"/>
        <item x="91"/>
        <item x="28"/>
        <item x="51"/>
        <item x="96"/>
        <item t="default"/>
      </items>
    </pivotField>
    <pivotField showAll="0"/>
    <pivotField numFmtId="165" showAll="0"/>
    <pivotField showAll="0"/>
    <pivotField numFmtId="165" showAll="0"/>
    <pivotField numFmtId="164" showAll="0"/>
    <pivotField numFmtId="165" showAll="0"/>
    <pivotField axis="axisRow" showAll="0">
      <items count="5">
        <item x="2"/>
        <item x="0"/>
        <item x="3"/>
        <item x="1"/>
        <item t="default"/>
      </items>
    </pivotField>
    <pivotField showAll="0"/>
    <pivotField showAll="0"/>
    <pivotField showAll="0"/>
    <pivotField showAll="0"/>
    <pivotField showAll="0"/>
    <pivotField numFmtId="165" showAll="0"/>
    <pivotField dataField="1" numFmtId="165" showAll="0"/>
    <pivotField numFmtId="165" showAll="0"/>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8"/>
  </rowFields>
  <rowItems count="5">
    <i>
      <x/>
    </i>
    <i>
      <x v="1"/>
    </i>
    <i>
      <x v="2"/>
    </i>
    <i>
      <x v="3"/>
    </i>
    <i t="grand">
      <x/>
    </i>
  </rowItems>
  <colItems count="1">
    <i/>
  </colItems>
  <dataFields count="1">
    <dataField name="Sum of Net inflation adjusted claim " fld="15"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C272249-ED88-47B4-82CE-EA6A443E7D45}"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03:E120" firstHeaderRow="1" firstDataRow="1" firstDataCol="0"/>
  <pivotFields count="19">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03CEECA-893D-4CC2-8323-704FF370A6A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4:C101" firstHeaderRow="0" firstDataRow="1" firstDataCol="1"/>
  <pivotFields count="22">
    <pivotField dataField="1" showAll="0"/>
    <pivotField axis="axisRow" numFmtId="14" showAll="0">
      <items count="99">
        <item x="43"/>
        <item x="25"/>
        <item x="9"/>
        <item x="73"/>
        <item x="15"/>
        <item x="52"/>
        <item x="81"/>
        <item x="2"/>
        <item x="58"/>
        <item x="34"/>
        <item x="94"/>
        <item x="29"/>
        <item x="85"/>
        <item x="63"/>
        <item x="47"/>
        <item x="5"/>
        <item x="68"/>
        <item x="17"/>
        <item x="59"/>
        <item x="0"/>
        <item x="23"/>
        <item x="80"/>
        <item x="39"/>
        <item x="90"/>
        <item x="14"/>
        <item x="53"/>
        <item x="33"/>
        <item x="46"/>
        <item x="67"/>
        <item x="36"/>
        <item x="76"/>
        <item x="93"/>
        <item x="50"/>
        <item x="19"/>
        <item x="27"/>
        <item x="62"/>
        <item x="1"/>
        <item x="79"/>
        <item x="22"/>
        <item x="84"/>
        <item x="42"/>
        <item x="72"/>
        <item x="31"/>
        <item x="56"/>
        <item x="8"/>
        <item x="11"/>
        <item x="88"/>
        <item x="3"/>
        <item x="61"/>
        <item x="49"/>
        <item x="10"/>
        <item x="92"/>
        <item x="16"/>
        <item x="83"/>
        <item x="55"/>
        <item x="32"/>
        <item x="66"/>
        <item x="75"/>
        <item x="6"/>
        <item x="87"/>
        <item x="35"/>
        <item x="45"/>
        <item x="70"/>
        <item x="26"/>
        <item x="40"/>
        <item x="78"/>
        <item x="21"/>
        <item x="38"/>
        <item x="7"/>
        <item x="71"/>
        <item x="95"/>
        <item x="89"/>
        <item x="44"/>
        <item x="65"/>
        <item x="18"/>
        <item x="54"/>
        <item x="12"/>
        <item x="24"/>
        <item x="60"/>
        <item x="30"/>
        <item x="86"/>
        <item x="48"/>
        <item x="97"/>
        <item x="13"/>
        <item x="82"/>
        <item x="64"/>
        <item x="41"/>
        <item x="77"/>
        <item x="57"/>
        <item x="37"/>
        <item x="69"/>
        <item x="74"/>
        <item x="20"/>
        <item x="4"/>
        <item x="91"/>
        <item x="28"/>
        <item x="51"/>
        <item x="96"/>
        <item t="default"/>
      </items>
    </pivotField>
    <pivotField showAll="0"/>
    <pivotField numFmtId="165" showAll="0"/>
    <pivotField showAll="0"/>
    <pivotField numFmtId="165" showAll="0"/>
    <pivotField numFmtId="164" showAll="0"/>
    <pivotField numFmtId="165" showAll="0"/>
    <pivotField showAll="0"/>
    <pivotField showAll="0"/>
    <pivotField showAll="0"/>
    <pivotField showAll="0"/>
    <pivotField showAll="0"/>
    <pivotField showAll="0"/>
    <pivotField numFmtId="165" showAll="0"/>
    <pivotField numFmtId="165" showAll="0"/>
    <pivotField dataField="1" numFmtId="165"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8">
        <item sd="0" x="0"/>
        <item sd="0" x="1"/>
        <item sd="0" x="2"/>
        <item sd="0" x="3"/>
        <item sd="0" x="4"/>
        <item sd="0" x="5"/>
        <item sd="0" x="6"/>
        <item sd="0" x="7"/>
      </items>
    </pivotField>
  </pivotFields>
  <rowFields count="4">
    <field x="21"/>
    <field x="20"/>
    <field x="19"/>
    <field x="1"/>
  </rowFields>
  <rowItems count="7">
    <i>
      <x v="1"/>
    </i>
    <i>
      <x v="2"/>
    </i>
    <i>
      <x v="3"/>
    </i>
    <i>
      <x v="4"/>
    </i>
    <i>
      <x v="5"/>
    </i>
    <i>
      <x v="6"/>
    </i>
    <i t="grand">
      <x/>
    </i>
  </rowItems>
  <colFields count="1">
    <field x="-2"/>
  </colFields>
  <colItems count="2">
    <i>
      <x/>
    </i>
    <i i="1">
      <x v="1"/>
    </i>
  </colItems>
  <dataFields count="2">
    <dataField name="Count of Claim ID" fld="0" subtotal="count" baseField="0" baseItem="0"/>
    <dataField name="Sum of Capped net adjusted incurred claim " fld="1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ACF2A8-DD02-4938-AFD2-A82D33DE53A8}" name="Claims_data" displayName="Claims_data" ref="A1:S101" totalsRowShown="0" headerRowDxfId="9">
  <autoFilter ref="A1:S101" xr:uid="{7354DF57-728B-AA4E-9CFF-ED2615DD969F}"/>
  <tableColumns count="19">
    <tableColumn id="1" xr3:uid="{8B5B0D78-6A41-4F69-B961-4581292B74EE}" name="Claim ID"/>
    <tableColumn id="2" xr3:uid="{65D163E7-C848-4F49-9BB3-4722E801384E}" name="Date of Claim" dataDxfId="8"/>
    <tableColumn id="3" xr3:uid="{00723254-537B-4E89-B028-B084F8898E72}" name="Type of Claim"/>
    <tableColumn id="4" xr3:uid="{BE02ABDC-709F-46AB-95F1-0864C3505D47}" name="Claim Incurred ($)" dataDxfId="7" dataCellStyle="Currency"/>
    <tableColumn id="5" xr3:uid="{24A17903-5899-48E2-BEE1-28E40B0B86AB}" name="Claim Status"/>
    <tableColumn id="6" xr3:uid="{DBDB21D2-36CA-4423-8762-1C4CA0505F57}" name="Gross claim amount " dataDxfId="6" dataCellStyle="Currency">
      <calculatedColumnFormula>$D2</calculatedColumnFormula>
    </tableColumn>
    <tableColumn id="7" xr3:uid="{91B64ADB-CE18-4996-8DBA-1063025A87A3}" name="Policy Limits ($)" dataDxfId="5"/>
    <tableColumn id="8" xr3:uid="{3A7F8AB0-3820-460D-97A9-6A2F39C5A189}" name="Deductible ($)" dataDxfId="4" dataCellStyle="Currency"/>
    <tableColumn id="9" xr3:uid="{F1A743DA-9419-48D4-BA70-6314D2D4CBC7}" name="Cause of Loss"/>
    <tableColumn id="10" xr3:uid="{61DAF16D-336C-447D-8970-8C11EFE98AF5}" name="Location"/>
    <tableColumn id="11" xr3:uid="{B38D7FDA-A18B-481A-BC9F-710037264533}" name="Insured Party"/>
    <tableColumn id="12" xr3:uid="{4397E016-93D4-4849-BEF0-C3F0BB849D12}" name="Gross Tonnage">
      <calculatedColumnFormula>IF(C2="Cargo Liability",RANDBETWEEN(10000,80000),IF(C2="Collision Liability",RANDBETWEEN(20000,100000),IF(C2="Environmental Pollution",RANDBETWEEN(50000,120000),IF(C2="Damage to Other Vessels",RANDBETWEEN(15000,90000),IF(C2="Injury to Third Parties",RANDBETWEEN(5000,60000))))))</calculatedColumnFormula>
    </tableColumn>
    <tableColumn id="13" xr3:uid="{791A835D-6641-4B1F-BC53-AF72D7F024FA}" name="Prior Claims History"/>
    <tableColumn id="14" xr3:uid="{83067C50-6D43-4698-BB15-4E68394C50A3}" name="Inflation Index">
      <calculatedColumnFormula>IF(YEAR(B2)=2023, 1.03,
   IF(YEAR(B2)=2022, 1.0506,
   IF(YEAR(B2)=2021, 1.071612,
   IF(YEAR(B2)=2020, 1.10376036,
   IF(YEAR(B2)=2019, 1.1479107744,
   IF(YEAR(B2)=2018, 1.20530631312, 1))))))</calculatedColumnFormula>
    </tableColumn>
    <tableColumn id="15" xr3:uid="{C39EF9F6-4C8C-49CD-80E0-5D6AB32C6BAF}" name="Gross inflation adjusted claim " dataDxfId="3" dataCellStyle="Currency">
      <calculatedColumnFormula>$F2*$N2</calculatedColumnFormula>
    </tableColumn>
    <tableColumn id="16" xr3:uid="{DBEEA384-0AD9-42A7-9943-557021966367}" name="Net inflation adjusted claim " dataDxfId="2" dataCellStyle="Currency">
      <calculatedColumnFormula>($F2-$H2)*$N2</calculatedColumnFormula>
    </tableColumn>
    <tableColumn id="17" xr3:uid="{8B316D7F-6D8E-443C-9D55-BC0D91006864}" name="Capped net adjusted incurred claim" dataDxfId="1">
      <calculatedColumnFormula>MIN($P2, $G2)</calculatedColumnFormula>
    </tableColumn>
    <tableColumn id="18" xr3:uid="{CDAEAE27-F8F4-4817-92E5-217D918F2106}" name="Attritional claim flag - (set equal to 1 if claim is less than 1m, otherwise 0)" dataDxfId="0">
      <calculatedColumnFormula>IF(Q2&lt;1000000,1,0)</calculatedColumnFormula>
    </tableColumn>
    <tableColumn id="19" xr3:uid="{4F1FB316-E482-4B2A-BBA3-4FDF9353A0C9}" name="Year">
      <calculatedColumnFormula>YEAR(B2)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42F03-1678-42D5-B090-61384E7F7BDD}">
  <dimension ref="A3:E120"/>
  <sheetViews>
    <sheetView topLeftCell="A86" workbookViewId="0">
      <selection activeCell="C105" sqref="C105"/>
    </sheetView>
  </sheetViews>
  <sheetFormatPr defaultRowHeight="16" x14ac:dyDescent="0.4"/>
  <cols>
    <col min="1" max="1" width="39.25" customWidth="1"/>
    <col min="2" max="2" width="42.33203125" customWidth="1"/>
    <col min="3" max="3" width="44.83203125" customWidth="1"/>
  </cols>
  <sheetData>
    <row r="3" spans="1:2" ht="18.5" x14ac:dyDescent="0.45">
      <c r="A3" s="83" t="s">
        <v>224</v>
      </c>
    </row>
    <row r="4" spans="1:2" x14ac:dyDescent="0.4">
      <c r="A4" s="79">
        <v>578102.34809999983</v>
      </c>
    </row>
    <row r="9" spans="1:2" ht="18.5" x14ac:dyDescent="0.45">
      <c r="A9" s="82" t="s">
        <v>226</v>
      </c>
    </row>
    <row r="10" spans="1:2" x14ac:dyDescent="0.4">
      <c r="A10" s="79">
        <v>630996.71998896357</v>
      </c>
    </row>
    <row r="14" spans="1:2" ht="18.5" x14ac:dyDescent="0.45">
      <c r="A14" s="81" t="s">
        <v>225</v>
      </c>
    </row>
    <row r="15" spans="1:2" x14ac:dyDescent="0.4">
      <c r="A15" s="80" t="s">
        <v>211</v>
      </c>
      <c r="B15" t="s">
        <v>227</v>
      </c>
    </row>
    <row r="16" spans="1:2" x14ac:dyDescent="0.4">
      <c r="A16" s="6" t="s">
        <v>214</v>
      </c>
      <c r="B16" s="79">
        <v>643510.46001395152</v>
      </c>
    </row>
    <row r="17" spans="1:2" x14ac:dyDescent="0.4">
      <c r="A17" s="6" t="s">
        <v>215</v>
      </c>
      <c r="B17" s="79">
        <v>607077.46600304893</v>
      </c>
    </row>
    <row r="18" spans="1:2" x14ac:dyDescent="0.4">
      <c r="A18" s="6" t="s">
        <v>216</v>
      </c>
      <c r="B18" s="79">
        <v>600236.34687121888</v>
      </c>
    </row>
    <row r="19" spans="1:2" x14ac:dyDescent="0.4">
      <c r="A19" s="6" t="s">
        <v>217</v>
      </c>
      <c r="B19" s="79">
        <v>596316.90501512995</v>
      </c>
    </row>
    <row r="20" spans="1:2" x14ac:dyDescent="0.4">
      <c r="A20" s="6" t="s">
        <v>218</v>
      </c>
      <c r="B20" s="79">
        <v>881240.56883400003</v>
      </c>
    </row>
    <row r="21" spans="1:2" x14ac:dyDescent="0.4">
      <c r="A21" s="6" t="s">
        <v>219</v>
      </c>
      <c r="B21" s="79">
        <v>464505.9855500001</v>
      </c>
    </row>
    <row r="22" spans="1:2" x14ac:dyDescent="0.4">
      <c r="A22" s="6" t="s">
        <v>212</v>
      </c>
      <c r="B22" s="79">
        <v>630996.71998896333</v>
      </c>
    </row>
    <row r="24" spans="1:2" ht="21" x14ac:dyDescent="0.5">
      <c r="A24" s="84" t="s">
        <v>229</v>
      </c>
    </row>
    <row r="25" spans="1:2" ht="18.5" x14ac:dyDescent="0.45">
      <c r="A25" s="85" t="s">
        <v>180</v>
      </c>
    </row>
    <row r="26" spans="1:2" x14ac:dyDescent="0.4">
      <c r="A26" s="80" t="s">
        <v>211</v>
      </c>
      <c r="B26" t="s">
        <v>228</v>
      </c>
    </row>
    <row r="27" spans="1:2" x14ac:dyDescent="0.4">
      <c r="A27" s="6" t="s">
        <v>16</v>
      </c>
      <c r="B27" s="79">
        <v>10604640.43554261</v>
      </c>
    </row>
    <row r="28" spans="1:2" x14ac:dyDescent="0.4">
      <c r="A28" s="6" t="s">
        <v>10</v>
      </c>
      <c r="B28" s="79">
        <v>11495061.073478078</v>
      </c>
    </row>
    <row r="29" spans="1:2" x14ac:dyDescent="0.4">
      <c r="A29" s="6" t="s">
        <v>21</v>
      </c>
      <c r="B29" s="79">
        <v>11944680.002249414</v>
      </c>
    </row>
    <row r="30" spans="1:2" x14ac:dyDescent="0.4">
      <c r="A30" s="6" t="s">
        <v>26</v>
      </c>
      <c r="B30" s="79">
        <v>18039390.484396495</v>
      </c>
    </row>
    <row r="31" spans="1:2" x14ac:dyDescent="0.4">
      <c r="A31" s="6" t="s">
        <v>32</v>
      </c>
      <c r="B31" s="79">
        <v>7892047.762849384</v>
      </c>
    </row>
    <row r="32" spans="1:2" x14ac:dyDescent="0.4">
      <c r="A32" s="6" t="s">
        <v>212</v>
      </c>
      <c r="B32" s="79">
        <v>59975819.758515976</v>
      </c>
    </row>
    <row r="35" spans="1:2" ht="18.5" x14ac:dyDescent="0.45">
      <c r="A35" s="85" t="s">
        <v>181</v>
      </c>
    </row>
    <row r="36" spans="1:2" x14ac:dyDescent="0.4">
      <c r="A36" s="80" t="s">
        <v>211</v>
      </c>
      <c r="B36" t="s">
        <v>213</v>
      </c>
    </row>
    <row r="37" spans="1:2" x14ac:dyDescent="0.4">
      <c r="A37" s="6" t="s">
        <v>16</v>
      </c>
      <c r="B37">
        <v>19</v>
      </c>
    </row>
    <row r="38" spans="1:2" x14ac:dyDescent="0.4">
      <c r="A38" s="6" t="s">
        <v>10</v>
      </c>
      <c r="B38">
        <v>21</v>
      </c>
    </row>
    <row r="39" spans="1:2" x14ac:dyDescent="0.4">
      <c r="A39" s="6" t="s">
        <v>21</v>
      </c>
      <c r="B39">
        <v>20</v>
      </c>
    </row>
    <row r="40" spans="1:2" x14ac:dyDescent="0.4">
      <c r="A40" s="6" t="s">
        <v>26</v>
      </c>
      <c r="B40">
        <v>22</v>
      </c>
    </row>
    <row r="41" spans="1:2" x14ac:dyDescent="0.4">
      <c r="A41" s="6" t="s">
        <v>32</v>
      </c>
      <c r="B41">
        <v>18</v>
      </c>
    </row>
    <row r="42" spans="1:2" x14ac:dyDescent="0.4">
      <c r="A42" s="6" t="s">
        <v>212</v>
      </c>
      <c r="B42">
        <v>100</v>
      </c>
    </row>
    <row r="45" spans="1:2" ht="18.5" x14ac:dyDescent="0.45">
      <c r="A45" s="85" t="s">
        <v>230</v>
      </c>
    </row>
    <row r="46" spans="1:2" x14ac:dyDescent="0.4">
      <c r="A46" s="80" t="s">
        <v>211</v>
      </c>
      <c r="B46" t="s">
        <v>224</v>
      </c>
    </row>
    <row r="47" spans="1:2" x14ac:dyDescent="0.4">
      <c r="A47" s="6" t="s">
        <v>16</v>
      </c>
      <c r="B47" s="79">
        <v>543964.60263157892</v>
      </c>
    </row>
    <row r="48" spans="1:2" x14ac:dyDescent="0.4">
      <c r="A48" s="6" t="s">
        <v>10</v>
      </c>
      <c r="B48" s="79">
        <v>517298.51333333348</v>
      </c>
    </row>
    <row r="49" spans="1:2" x14ac:dyDescent="0.4">
      <c r="A49" s="6" t="s">
        <v>21</v>
      </c>
      <c r="B49" s="79">
        <v>576540.58250000014</v>
      </c>
    </row>
    <row r="50" spans="1:2" x14ac:dyDescent="0.4">
      <c r="A50" s="6" t="s">
        <v>26</v>
      </c>
      <c r="B50" s="79">
        <v>790953.47181818157</v>
      </c>
    </row>
    <row r="51" spans="1:2" x14ac:dyDescent="0.4">
      <c r="A51" s="6" t="s">
        <v>32</v>
      </c>
      <c r="B51" s="79">
        <v>426658.36388888891</v>
      </c>
    </row>
    <row r="52" spans="1:2" x14ac:dyDescent="0.4">
      <c r="A52" s="6" t="s">
        <v>212</v>
      </c>
      <c r="B52" s="79">
        <v>578102.34810000029</v>
      </c>
    </row>
    <row r="54" spans="1:2" ht="21" x14ac:dyDescent="0.5">
      <c r="A54" s="84" t="s">
        <v>231</v>
      </c>
    </row>
    <row r="55" spans="1:2" ht="18.5" x14ac:dyDescent="0.45">
      <c r="A55" s="85" t="s">
        <v>182</v>
      </c>
    </row>
    <row r="56" spans="1:2" x14ac:dyDescent="0.4">
      <c r="A56" s="80" t="s">
        <v>211</v>
      </c>
      <c r="B56" t="s">
        <v>228</v>
      </c>
    </row>
    <row r="57" spans="1:2" x14ac:dyDescent="0.4">
      <c r="A57" s="6" t="s">
        <v>22</v>
      </c>
      <c r="B57" s="79">
        <v>12131882.019820403</v>
      </c>
    </row>
    <row r="58" spans="1:2" x14ac:dyDescent="0.4">
      <c r="A58" s="6" t="s">
        <v>12</v>
      </c>
      <c r="B58" s="79">
        <v>11064663.054877516</v>
      </c>
    </row>
    <row r="59" spans="1:2" x14ac:dyDescent="0.4">
      <c r="A59" s="6" t="s">
        <v>28</v>
      </c>
      <c r="B59" s="79">
        <v>17664300.627221167</v>
      </c>
    </row>
    <row r="60" spans="1:2" x14ac:dyDescent="0.4">
      <c r="A60" s="6" t="s">
        <v>17</v>
      </c>
      <c r="B60" s="79">
        <v>19114974.05659689</v>
      </c>
    </row>
    <row r="61" spans="1:2" x14ac:dyDescent="0.4">
      <c r="A61" s="6" t="s">
        <v>212</v>
      </c>
      <c r="B61" s="79">
        <v>59975819.758515976</v>
      </c>
    </row>
    <row r="64" spans="1:2" ht="18.5" x14ac:dyDescent="0.45">
      <c r="A64" s="85" t="s">
        <v>183</v>
      </c>
    </row>
    <row r="65" spans="1:2" x14ac:dyDescent="0.4">
      <c r="A65" s="80" t="s">
        <v>211</v>
      </c>
      <c r="B65" t="s">
        <v>213</v>
      </c>
    </row>
    <row r="66" spans="1:2" x14ac:dyDescent="0.4">
      <c r="A66" s="6" t="s">
        <v>22</v>
      </c>
      <c r="B66">
        <v>21</v>
      </c>
    </row>
    <row r="67" spans="1:2" x14ac:dyDescent="0.4">
      <c r="A67" s="6" t="s">
        <v>12</v>
      </c>
      <c r="B67">
        <v>23</v>
      </c>
    </row>
    <row r="68" spans="1:2" x14ac:dyDescent="0.4">
      <c r="A68" s="6" t="s">
        <v>28</v>
      </c>
      <c r="B68">
        <v>21</v>
      </c>
    </row>
    <row r="69" spans="1:2" x14ac:dyDescent="0.4">
      <c r="A69" s="6" t="s">
        <v>17</v>
      </c>
      <c r="B69">
        <v>35</v>
      </c>
    </row>
    <row r="70" spans="1:2" x14ac:dyDescent="0.4">
      <c r="A70" s="6" t="s">
        <v>212</v>
      </c>
      <c r="B70">
        <v>100</v>
      </c>
    </row>
    <row r="72" spans="1:2" ht="18.5" x14ac:dyDescent="0.45">
      <c r="A72" s="85" t="s">
        <v>232</v>
      </c>
    </row>
    <row r="73" spans="1:2" x14ac:dyDescent="0.4">
      <c r="A73" s="80" t="s">
        <v>211</v>
      </c>
      <c r="B73" t="s">
        <v>226</v>
      </c>
    </row>
    <row r="74" spans="1:2" x14ac:dyDescent="0.4">
      <c r="A74" s="6" t="s">
        <v>22</v>
      </c>
      <c r="B74" s="79">
        <v>613597.52616432146</v>
      </c>
    </row>
    <row r="75" spans="1:2" x14ac:dyDescent="0.4">
      <c r="A75" s="6" t="s">
        <v>12</v>
      </c>
      <c r="B75" s="79">
        <v>507769.31516174041</v>
      </c>
    </row>
    <row r="76" spans="1:2" x14ac:dyDescent="0.4">
      <c r="A76" s="6" t="s">
        <v>28</v>
      </c>
      <c r="B76" s="79">
        <v>874318.63114172383</v>
      </c>
    </row>
    <row r="77" spans="1:2" x14ac:dyDescent="0.4">
      <c r="A77" s="6" t="s">
        <v>17</v>
      </c>
      <c r="B77" s="79">
        <v>576421.09847855277</v>
      </c>
    </row>
    <row r="78" spans="1:2" x14ac:dyDescent="0.4">
      <c r="A78" s="6" t="s">
        <v>212</v>
      </c>
      <c r="B78" s="79">
        <v>630996.71998896322</v>
      </c>
    </row>
    <row r="83" spans="1:3" ht="18.5" x14ac:dyDescent="0.45">
      <c r="A83" s="81" t="s">
        <v>233</v>
      </c>
    </row>
    <row r="84" spans="1:3" x14ac:dyDescent="0.4">
      <c r="A84" s="80" t="s">
        <v>211</v>
      </c>
      <c r="B84" t="s">
        <v>234</v>
      </c>
    </row>
    <row r="85" spans="1:3" x14ac:dyDescent="0.4">
      <c r="A85" s="6" t="s">
        <v>214</v>
      </c>
      <c r="B85">
        <v>10</v>
      </c>
    </row>
    <row r="86" spans="1:3" x14ac:dyDescent="0.4">
      <c r="A86" s="6" t="s">
        <v>215</v>
      </c>
      <c r="B86">
        <v>17</v>
      </c>
    </row>
    <row r="87" spans="1:3" x14ac:dyDescent="0.4">
      <c r="A87" s="6" t="s">
        <v>216</v>
      </c>
      <c r="B87">
        <v>20</v>
      </c>
    </row>
    <row r="88" spans="1:3" x14ac:dyDescent="0.4">
      <c r="A88" s="6" t="s">
        <v>217</v>
      </c>
      <c r="B88">
        <v>20</v>
      </c>
    </row>
    <row r="89" spans="1:3" x14ac:dyDescent="0.4">
      <c r="A89" s="6" t="s">
        <v>218</v>
      </c>
      <c r="B89">
        <v>17</v>
      </c>
    </row>
    <row r="90" spans="1:3" x14ac:dyDescent="0.4">
      <c r="A90" s="6" t="s">
        <v>219</v>
      </c>
      <c r="B90">
        <v>16</v>
      </c>
    </row>
    <row r="91" spans="1:3" x14ac:dyDescent="0.4">
      <c r="A91" s="6" t="s">
        <v>212</v>
      </c>
      <c r="B91">
        <v>100</v>
      </c>
    </row>
    <row r="94" spans="1:3" x14ac:dyDescent="0.4">
      <c r="A94" s="80" t="s">
        <v>211</v>
      </c>
      <c r="B94" t="s">
        <v>213</v>
      </c>
      <c r="C94" t="s">
        <v>235</v>
      </c>
    </row>
    <row r="95" spans="1:3" x14ac:dyDescent="0.4">
      <c r="A95" s="6" t="s">
        <v>214</v>
      </c>
      <c r="B95">
        <v>10</v>
      </c>
      <c r="C95" s="79">
        <v>6167876.4969204208</v>
      </c>
    </row>
    <row r="96" spans="1:3" x14ac:dyDescent="0.4">
      <c r="A96" s="6" t="s">
        <v>215</v>
      </c>
      <c r="B96">
        <v>17</v>
      </c>
      <c r="C96" s="79">
        <v>9764152.8547158614</v>
      </c>
    </row>
    <row r="97" spans="1:5" x14ac:dyDescent="0.4">
      <c r="A97" s="6" t="s">
        <v>216</v>
      </c>
      <c r="B97">
        <v>20</v>
      </c>
      <c r="C97" s="79">
        <v>11275889.324747538</v>
      </c>
    </row>
    <row r="98" spans="1:5" x14ac:dyDescent="0.4">
      <c r="A98" s="6" t="s">
        <v>217</v>
      </c>
      <c r="B98">
        <v>20</v>
      </c>
      <c r="C98" s="79">
        <v>11327933.574555118</v>
      </c>
    </row>
    <row r="99" spans="1:5" x14ac:dyDescent="0.4">
      <c r="A99" s="6" t="s">
        <v>218</v>
      </c>
      <c r="B99">
        <v>17</v>
      </c>
      <c r="C99" s="79">
        <v>14470440.717924003</v>
      </c>
    </row>
    <row r="100" spans="1:5" x14ac:dyDescent="0.4">
      <c r="A100" s="6" t="s">
        <v>219</v>
      </c>
      <c r="B100">
        <v>16</v>
      </c>
      <c r="C100" s="79">
        <v>6958926.1185000008</v>
      </c>
    </row>
    <row r="101" spans="1:5" x14ac:dyDescent="0.4">
      <c r="A101" s="6" t="s">
        <v>212</v>
      </c>
      <c r="B101">
        <v>100</v>
      </c>
      <c r="C101" s="79">
        <v>59965219.087362953</v>
      </c>
    </row>
    <row r="103" spans="1:5" x14ac:dyDescent="0.4">
      <c r="C103" s="86"/>
      <c r="D103" s="87"/>
      <c r="E103" s="88"/>
    </row>
    <row r="104" spans="1:5" x14ac:dyDescent="0.4">
      <c r="C104" s="89"/>
      <c r="D104" s="90"/>
      <c r="E104" s="91"/>
    </row>
    <row r="105" spans="1:5" x14ac:dyDescent="0.4">
      <c r="C105" s="89"/>
      <c r="D105" s="90"/>
      <c r="E105" s="91"/>
    </row>
    <row r="106" spans="1:5" x14ac:dyDescent="0.4">
      <c r="C106" s="89"/>
      <c r="D106" s="90"/>
      <c r="E106" s="91"/>
    </row>
    <row r="107" spans="1:5" x14ac:dyDescent="0.4">
      <c r="C107" s="89"/>
      <c r="D107" s="90"/>
      <c r="E107" s="91"/>
    </row>
    <row r="108" spans="1:5" x14ac:dyDescent="0.4">
      <c r="C108" s="89"/>
      <c r="D108" s="90"/>
      <c r="E108" s="91"/>
    </row>
    <row r="109" spans="1:5" x14ac:dyDescent="0.4">
      <c r="C109" s="89"/>
      <c r="D109" s="90"/>
      <c r="E109" s="91"/>
    </row>
    <row r="110" spans="1:5" x14ac:dyDescent="0.4">
      <c r="C110" s="89"/>
      <c r="D110" s="90"/>
      <c r="E110" s="91"/>
    </row>
    <row r="111" spans="1:5" x14ac:dyDescent="0.4">
      <c r="C111" s="89"/>
      <c r="D111" s="90"/>
      <c r="E111" s="91"/>
    </row>
    <row r="112" spans="1:5" x14ac:dyDescent="0.4">
      <c r="C112" s="89"/>
      <c r="D112" s="90"/>
      <c r="E112" s="91"/>
    </row>
    <row r="113" spans="3:5" x14ac:dyDescent="0.4">
      <c r="C113" s="89"/>
      <c r="D113" s="90"/>
      <c r="E113" s="91"/>
    </row>
    <row r="114" spans="3:5" x14ac:dyDescent="0.4">
      <c r="C114" s="89"/>
      <c r="D114" s="90"/>
      <c r="E114" s="91"/>
    </row>
    <row r="115" spans="3:5" x14ac:dyDescent="0.4">
      <c r="C115" s="89"/>
      <c r="D115" s="90"/>
      <c r="E115" s="91"/>
    </row>
    <row r="116" spans="3:5" x14ac:dyDescent="0.4">
      <c r="C116" s="89"/>
      <c r="D116" s="90"/>
      <c r="E116" s="91"/>
    </row>
    <row r="117" spans="3:5" x14ac:dyDescent="0.4">
      <c r="C117" s="89"/>
      <c r="D117" s="90"/>
      <c r="E117" s="91"/>
    </row>
    <row r="118" spans="3:5" x14ac:dyDescent="0.4">
      <c r="C118" s="89"/>
      <c r="D118" s="90"/>
      <c r="E118" s="91"/>
    </row>
    <row r="119" spans="3:5" x14ac:dyDescent="0.4">
      <c r="C119" s="89"/>
      <c r="D119" s="90"/>
      <c r="E119" s="91"/>
    </row>
    <row r="120" spans="3:5" x14ac:dyDescent="0.4">
      <c r="C120" s="92"/>
      <c r="D120" s="93"/>
      <c r="E120" s="94"/>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4DF57-728B-AA4E-9CFF-ED2615DD969F}">
  <dimension ref="A1:S101"/>
  <sheetViews>
    <sheetView topLeftCell="G1" zoomScale="80" zoomScaleNormal="80" workbookViewId="0">
      <pane ySplit="1" topLeftCell="A2" activePane="bottomLeft" state="frozen"/>
      <selection pane="bottomLeft" activeCell="P101" sqref="P101"/>
    </sheetView>
  </sheetViews>
  <sheetFormatPr defaultColWidth="10.6640625" defaultRowHeight="16" x14ac:dyDescent="0.4"/>
  <cols>
    <col min="1" max="1" width="10.5" bestFit="1" customWidth="1"/>
    <col min="2" max="2" width="13.58203125" customWidth="1"/>
    <col min="3" max="3" width="21.5" bestFit="1" customWidth="1"/>
    <col min="4" max="4" width="21.5" style="3" customWidth="1"/>
    <col min="5" max="5" width="12.9140625" customWidth="1"/>
    <col min="6" max="6" width="23.75" style="23" customWidth="1"/>
    <col min="7" max="7" width="16.1640625" style="75" customWidth="1"/>
    <col min="8" max="8" width="14.9140625" style="3" customWidth="1"/>
    <col min="9" max="9" width="15" bestFit="1" customWidth="1"/>
    <col min="10" max="10" width="16.6640625" bestFit="1" customWidth="1"/>
    <col min="11" max="11" width="13.25" customWidth="1"/>
    <col min="12" max="12" width="14.6640625" customWidth="1"/>
    <col min="13" max="13" width="18.6640625" customWidth="1"/>
    <col min="14" max="14" width="15.1640625" customWidth="1"/>
    <col min="15" max="15" width="29.83203125" style="24" customWidth="1"/>
    <col min="16" max="16" width="24.9140625" style="24" customWidth="1"/>
    <col min="17" max="17" width="30.25" style="25" customWidth="1"/>
    <col min="18" max="18" width="53.58203125" style="2" customWidth="1"/>
  </cols>
  <sheetData>
    <row r="1" spans="1:19" s="71" customFormat="1" ht="25" customHeight="1" x14ac:dyDescent="0.4">
      <c r="A1" s="71" t="s">
        <v>81</v>
      </c>
      <c r="B1" s="71" t="s">
        <v>0</v>
      </c>
      <c r="C1" s="71" t="s">
        <v>1</v>
      </c>
      <c r="D1" s="72" t="s">
        <v>159</v>
      </c>
      <c r="E1" s="71" t="s">
        <v>2</v>
      </c>
      <c r="F1" s="76" t="s">
        <v>220</v>
      </c>
      <c r="G1" s="73" t="s">
        <v>3</v>
      </c>
      <c r="H1" s="72" t="s">
        <v>4</v>
      </c>
      <c r="I1" s="71" t="s">
        <v>5</v>
      </c>
      <c r="J1" s="71" t="s">
        <v>6</v>
      </c>
      <c r="K1" s="71" t="s">
        <v>7</v>
      </c>
      <c r="L1" s="71" t="s">
        <v>158</v>
      </c>
      <c r="M1" s="71" t="s">
        <v>8</v>
      </c>
      <c r="N1" s="71" t="s">
        <v>147</v>
      </c>
      <c r="O1" s="77" t="s">
        <v>221</v>
      </c>
      <c r="P1" s="77" t="s">
        <v>222</v>
      </c>
      <c r="Q1" s="78" t="s">
        <v>223</v>
      </c>
      <c r="R1" s="71" t="s">
        <v>179</v>
      </c>
      <c r="S1" s="71" t="s">
        <v>166</v>
      </c>
    </row>
    <row r="2" spans="1:19" x14ac:dyDescent="0.4">
      <c r="A2" t="s">
        <v>9</v>
      </c>
      <c r="B2" s="1">
        <v>43664</v>
      </c>
      <c r="C2" t="s">
        <v>10</v>
      </c>
      <c r="D2" s="3">
        <v>737423.28</v>
      </c>
      <c r="E2" t="s">
        <v>11</v>
      </c>
      <c r="F2" s="23">
        <f>$D2</f>
        <v>737423.28</v>
      </c>
      <c r="G2" s="74">
        <v>5000000</v>
      </c>
      <c r="H2" s="3">
        <v>12345.92</v>
      </c>
      <c r="I2" t="s">
        <v>12</v>
      </c>
      <c r="J2" t="s">
        <v>13</v>
      </c>
      <c r="K2" t="s">
        <v>14</v>
      </c>
      <c r="L2">
        <f t="shared" ref="L2:L33" ca="1" si="0">IF(C2="Cargo Liability",RANDBETWEEN(10000,80000),IF(C2="Collision Liability",RANDBETWEEN(20000,100000),IF(C2="Environmental Pollution",RANDBETWEEN(50000,120000),IF(C2="Damage to Other Vessels",RANDBETWEEN(15000,90000),IF(C2="Injury to Third Parties",RANDBETWEEN(5000,60000))))))</f>
        <v>37418</v>
      </c>
      <c r="M2">
        <v>4</v>
      </c>
      <c r="N2">
        <f t="shared" ref="N2:N33" si="1">IF(YEAR(B2)=2023, 1.03,
   IF(YEAR(B2)=2022, 1.0506,
   IF(YEAR(B2)=2021, 1.071612,
   IF(YEAR(B2)=2020, 1.10376036,
   IF(YEAR(B2)=2019, 1.1479107744,
   IF(YEAR(B2)=2018, 1.20530631312, 1))))))</f>
        <v>1.1479107743999999</v>
      </c>
      <c r="O2" s="24">
        <f>$F2*$N2</f>
        <v>846496.12840538798</v>
      </c>
      <c r="P2" s="24">
        <f>($F2-$H2)*$N2</f>
        <v>832324.11381750752</v>
      </c>
      <c r="Q2" s="26">
        <f>MIN($P2, $G2)</f>
        <v>832324.11381750752</v>
      </c>
      <c r="R2" s="2">
        <f>IF(Q2&lt;1000000,1,0)</f>
        <v>1</v>
      </c>
      <c r="S2">
        <f t="shared" ref="S2:S33" si="2">YEAR(B2)</f>
        <v>2019</v>
      </c>
    </row>
    <row r="3" spans="1:19" x14ac:dyDescent="0.4">
      <c r="A3" t="s">
        <v>15</v>
      </c>
      <c r="B3" s="1">
        <v>43978</v>
      </c>
      <c r="C3" t="s">
        <v>16</v>
      </c>
      <c r="D3" s="3">
        <v>315189.74</v>
      </c>
      <c r="E3" t="s">
        <v>11</v>
      </c>
      <c r="F3" s="23">
        <f t="shared" ref="F3:F7" si="3">$D3</f>
        <v>315189.74</v>
      </c>
      <c r="G3" s="74">
        <v>5000000</v>
      </c>
      <c r="H3" s="3">
        <v>33716.76</v>
      </c>
      <c r="I3" t="s">
        <v>17</v>
      </c>
      <c r="J3" t="s">
        <v>18</v>
      </c>
      <c r="K3" t="s">
        <v>19</v>
      </c>
      <c r="L3">
        <f t="shared" ca="1" si="0"/>
        <v>67678</v>
      </c>
      <c r="M3">
        <v>6</v>
      </c>
      <c r="N3">
        <f t="shared" si="1"/>
        <v>1.1037603600000001</v>
      </c>
      <c r="O3" s="24">
        <f>$F3*$N3</f>
        <v>347893.94089070644</v>
      </c>
      <c r="P3" s="24">
        <f t="shared" ref="P3:P66" si="4">($F3-$H3)*$N3</f>
        <v>310678.71773507283</v>
      </c>
      <c r="Q3" s="26">
        <f t="shared" ref="Q3:Q66" si="5">MIN($P3, $G3)</f>
        <v>310678.71773507283</v>
      </c>
      <c r="R3" s="2">
        <f t="shared" ref="R3:R66" si="6">IF(Q3&lt;1000000,1,0)</f>
        <v>1</v>
      </c>
      <c r="S3">
        <f t="shared" si="2"/>
        <v>2020</v>
      </c>
    </row>
    <row r="4" spans="1:19" x14ac:dyDescent="0.4">
      <c r="A4" t="s">
        <v>20</v>
      </c>
      <c r="B4" s="1">
        <v>43427</v>
      </c>
      <c r="C4" t="s">
        <v>21</v>
      </c>
      <c r="D4" s="3">
        <v>678364.99</v>
      </c>
      <c r="E4" t="s">
        <v>11</v>
      </c>
      <c r="F4" s="23">
        <f t="shared" si="3"/>
        <v>678364.99</v>
      </c>
      <c r="G4" s="74">
        <v>5000000</v>
      </c>
      <c r="H4" s="3">
        <v>34396.910000000003</v>
      </c>
      <c r="I4" t="s">
        <v>22</v>
      </c>
      <c r="J4" t="s">
        <v>23</v>
      </c>
      <c r="K4" t="s">
        <v>24</v>
      </c>
      <c r="L4">
        <f t="shared" ca="1" si="0"/>
        <v>34514</v>
      </c>
      <c r="M4">
        <v>3</v>
      </c>
      <c r="N4">
        <f t="shared" si="1"/>
        <v>1.2053063131199999</v>
      </c>
      <c r="O4" s="24">
        <f t="shared" ref="O4:O66" si="7">$F4*$N4</f>
        <v>817637.60504658555</v>
      </c>
      <c r="P4" s="24">
        <f t="shared" si="4"/>
        <v>776178.79227176507</v>
      </c>
      <c r="Q4" s="26">
        <f t="shared" si="5"/>
        <v>776178.79227176507</v>
      </c>
      <c r="R4" s="2">
        <f t="shared" si="6"/>
        <v>1</v>
      </c>
      <c r="S4">
        <f t="shared" si="2"/>
        <v>2018</v>
      </c>
    </row>
    <row r="5" spans="1:19" x14ac:dyDescent="0.4">
      <c r="A5" t="s">
        <v>25</v>
      </c>
      <c r="B5" s="1">
        <v>44201</v>
      </c>
      <c r="C5" t="s">
        <v>26</v>
      </c>
      <c r="D5" s="3">
        <v>203840.58</v>
      </c>
      <c r="E5" t="s">
        <v>27</v>
      </c>
      <c r="F5" s="23">
        <f t="shared" si="3"/>
        <v>203840.58</v>
      </c>
      <c r="G5" s="74">
        <v>5000000</v>
      </c>
      <c r="H5" s="3">
        <v>11703.88</v>
      </c>
      <c r="I5" t="s">
        <v>28</v>
      </c>
      <c r="J5" t="s">
        <v>29</v>
      </c>
      <c r="K5" t="s">
        <v>30</v>
      </c>
      <c r="L5">
        <f t="shared" ca="1" si="0"/>
        <v>51495</v>
      </c>
      <c r="M5">
        <v>7</v>
      </c>
      <c r="N5">
        <f t="shared" si="1"/>
        <v>1.071612</v>
      </c>
      <c r="O5" s="24">
        <f t="shared" si="7"/>
        <v>218438.01161495998</v>
      </c>
      <c r="P5" s="24">
        <f t="shared" si="4"/>
        <v>205895.9933604</v>
      </c>
      <c r="Q5" s="26">
        <f t="shared" si="5"/>
        <v>205895.9933604</v>
      </c>
      <c r="R5" s="2">
        <f t="shared" si="6"/>
        <v>1</v>
      </c>
      <c r="S5">
        <f t="shared" si="2"/>
        <v>2021</v>
      </c>
    </row>
    <row r="6" spans="1:19" x14ac:dyDescent="0.4">
      <c r="A6" t="s">
        <v>31</v>
      </c>
      <c r="B6" s="1">
        <v>45091</v>
      </c>
      <c r="C6" t="s">
        <v>32</v>
      </c>
      <c r="D6" s="3">
        <v>98692.46</v>
      </c>
      <c r="E6" t="s">
        <v>33</v>
      </c>
      <c r="F6" s="23">
        <f t="shared" si="3"/>
        <v>98692.46</v>
      </c>
      <c r="G6" s="74">
        <v>1000000</v>
      </c>
      <c r="H6" s="3">
        <v>48127.72</v>
      </c>
      <c r="I6" t="s">
        <v>12</v>
      </c>
      <c r="J6" t="s">
        <v>13</v>
      </c>
      <c r="K6" t="s">
        <v>34</v>
      </c>
      <c r="L6">
        <f t="shared" ca="1" si="0"/>
        <v>35177</v>
      </c>
      <c r="M6">
        <v>8</v>
      </c>
      <c r="N6">
        <f t="shared" si="1"/>
        <v>1.03</v>
      </c>
      <c r="O6" s="24">
        <f t="shared" si="7"/>
        <v>101653.23380000002</v>
      </c>
      <c r="P6" s="24">
        <f t="shared" si="4"/>
        <v>52081.68220000001</v>
      </c>
      <c r="Q6" s="26">
        <f t="shared" si="5"/>
        <v>52081.68220000001</v>
      </c>
      <c r="R6" s="2">
        <f t="shared" si="6"/>
        <v>1</v>
      </c>
      <c r="S6">
        <f t="shared" si="2"/>
        <v>2023</v>
      </c>
    </row>
    <row r="7" spans="1:19" x14ac:dyDescent="0.4">
      <c r="A7" t="s">
        <v>35</v>
      </c>
      <c r="B7" s="1">
        <v>43584</v>
      </c>
      <c r="C7" t="s">
        <v>10</v>
      </c>
      <c r="D7" s="3">
        <v>243918.65</v>
      </c>
      <c r="E7" t="s">
        <v>11</v>
      </c>
      <c r="F7" s="23">
        <f t="shared" si="3"/>
        <v>243918.65</v>
      </c>
      <c r="G7" s="74">
        <v>5000000</v>
      </c>
      <c r="H7" s="3">
        <v>10585.54</v>
      </c>
      <c r="I7" t="s">
        <v>17</v>
      </c>
      <c r="J7" t="s">
        <v>18</v>
      </c>
      <c r="K7" t="s">
        <v>36</v>
      </c>
      <c r="L7">
        <f t="shared" ca="1" si="0"/>
        <v>45404</v>
      </c>
      <c r="M7">
        <v>2</v>
      </c>
      <c r="N7">
        <f t="shared" si="1"/>
        <v>1.1479107743999999</v>
      </c>
      <c r="O7" s="24">
        <f t="shared" si="7"/>
        <v>279996.84641210252</v>
      </c>
      <c r="P7" s="24">
        <f t="shared" si="4"/>
        <v>267845.59099326032</v>
      </c>
      <c r="Q7" s="26">
        <f t="shared" si="5"/>
        <v>267845.59099326032</v>
      </c>
      <c r="R7" s="2">
        <f t="shared" si="6"/>
        <v>1</v>
      </c>
      <c r="S7">
        <f t="shared" si="2"/>
        <v>2019</v>
      </c>
    </row>
    <row r="8" spans="1:19" x14ac:dyDescent="0.4">
      <c r="A8" t="s">
        <v>37</v>
      </c>
      <c r="B8" s="1">
        <v>44398</v>
      </c>
      <c r="C8" t="s">
        <v>26</v>
      </c>
      <c r="D8" s="3">
        <v>765873.46</v>
      </c>
      <c r="E8" t="s">
        <v>11</v>
      </c>
      <c r="F8" s="23">
        <f>$D8</f>
        <v>765873.46</v>
      </c>
      <c r="G8" s="74">
        <v>5000000</v>
      </c>
      <c r="H8" s="3">
        <v>17345.37</v>
      </c>
      <c r="I8" t="s">
        <v>28</v>
      </c>
      <c r="J8" t="s">
        <v>38</v>
      </c>
      <c r="K8" t="s">
        <v>39</v>
      </c>
      <c r="L8">
        <f t="shared" ca="1" si="0"/>
        <v>115092</v>
      </c>
      <c r="M8">
        <v>1</v>
      </c>
      <c r="N8">
        <f t="shared" si="1"/>
        <v>1.071612</v>
      </c>
      <c r="O8" s="24">
        <f t="shared" si="7"/>
        <v>820719.19021751999</v>
      </c>
      <c r="P8" s="24">
        <f t="shared" si="4"/>
        <v>802131.68358107994</v>
      </c>
      <c r="Q8" s="26">
        <f t="shared" si="5"/>
        <v>802131.68358107994</v>
      </c>
      <c r="R8" s="2">
        <f t="shared" si="6"/>
        <v>1</v>
      </c>
      <c r="S8">
        <f t="shared" si="2"/>
        <v>2021</v>
      </c>
    </row>
    <row r="9" spans="1:19" x14ac:dyDescent="0.4">
      <c r="A9" t="s">
        <v>40</v>
      </c>
      <c r="B9" s="1">
        <v>44638</v>
      </c>
      <c r="C9" t="s">
        <v>21</v>
      </c>
      <c r="D9" s="3">
        <v>913843.77</v>
      </c>
      <c r="E9" t="s">
        <v>11</v>
      </c>
      <c r="F9" s="23">
        <f t="shared" ref="F9:F72" si="8">$D9</f>
        <v>913843.77</v>
      </c>
      <c r="G9" s="74">
        <v>5000000</v>
      </c>
      <c r="H9" s="3">
        <v>25600.34</v>
      </c>
      <c r="I9" t="s">
        <v>22</v>
      </c>
      <c r="J9" t="s">
        <v>18</v>
      </c>
      <c r="K9" t="s">
        <v>41</v>
      </c>
      <c r="L9">
        <f t="shared" ca="1" si="0"/>
        <v>42631</v>
      </c>
      <c r="M9">
        <v>0</v>
      </c>
      <c r="N9">
        <f t="shared" si="1"/>
        <v>1.0506</v>
      </c>
      <c r="O9" s="24">
        <f t="shared" si="7"/>
        <v>960084.26476199995</v>
      </c>
      <c r="P9" s="24">
        <f t="shared" si="4"/>
        <v>933188.54755800008</v>
      </c>
      <c r="Q9" s="26">
        <f t="shared" si="5"/>
        <v>933188.54755800008</v>
      </c>
      <c r="R9" s="2">
        <f t="shared" si="6"/>
        <v>1</v>
      </c>
      <c r="S9">
        <f t="shared" si="2"/>
        <v>2022</v>
      </c>
    </row>
    <row r="10" spans="1:19" x14ac:dyDescent="0.4">
      <c r="A10" t="s">
        <v>42</v>
      </c>
      <c r="B10" s="1">
        <v>44150</v>
      </c>
      <c r="C10" t="s">
        <v>16</v>
      </c>
      <c r="D10" s="3">
        <v>754890.21</v>
      </c>
      <c r="E10" t="s">
        <v>11</v>
      </c>
      <c r="F10" s="23">
        <f t="shared" si="8"/>
        <v>754890.21</v>
      </c>
      <c r="G10" s="74">
        <v>5000000</v>
      </c>
      <c r="H10" s="3">
        <v>38184.44</v>
      </c>
      <c r="I10" t="s">
        <v>17</v>
      </c>
      <c r="J10" t="s">
        <v>23</v>
      </c>
      <c r="K10" t="s">
        <v>43</v>
      </c>
      <c r="L10">
        <f t="shared" ca="1" si="0"/>
        <v>57118</v>
      </c>
      <c r="M10">
        <v>6</v>
      </c>
      <c r="N10">
        <f t="shared" si="1"/>
        <v>1.1037603600000001</v>
      </c>
      <c r="O10" s="24">
        <f t="shared" si="7"/>
        <v>833217.88995007565</v>
      </c>
      <c r="P10" s="24">
        <f t="shared" si="4"/>
        <v>791071.41870927729</v>
      </c>
      <c r="Q10" s="26">
        <f t="shared" si="5"/>
        <v>791071.41870927729</v>
      </c>
      <c r="R10" s="2">
        <f t="shared" si="6"/>
        <v>1</v>
      </c>
      <c r="S10">
        <f t="shared" si="2"/>
        <v>2020</v>
      </c>
    </row>
    <row r="11" spans="1:19" x14ac:dyDescent="0.4">
      <c r="A11" t="s">
        <v>44</v>
      </c>
      <c r="B11" s="1">
        <v>43258</v>
      </c>
      <c r="C11" t="s">
        <v>10</v>
      </c>
      <c r="D11" s="3">
        <v>600293.27</v>
      </c>
      <c r="E11" t="s">
        <v>27</v>
      </c>
      <c r="F11" s="23">
        <f t="shared" si="8"/>
        <v>600293.27</v>
      </c>
      <c r="G11" s="74">
        <v>5000000</v>
      </c>
      <c r="H11" s="3">
        <v>1143.25</v>
      </c>
      <c r="I11" t="s">
        <v>12</v>
      </c>
      <c r="J11" t="s">
        <v>18</v>
      </c>
      <c r="K11" t="s">
        <v>45</v>
      </c>
      <c r="L11">
        <f t="shared" ca="1" si="0"/>
        <v>45500</v>
      </c>
      <c r="M11">
        <v>5</v>
      </c>
      <c r="N11">
        <f t="shared" si="1"/>
        <v>1.2053063131199999</v>
      </c>
      <c r="O11" s="24">
        <f t="shared" si="7"/>
        <v>723537.26805444865</v>
      </c>
      <c r="P11" s="24">
        <f t="shared" si="4"/>
        <v>722159.30161197425</v>
      </c>
      <c r="Q11" s="26">
        <f t="shared" si="5"/>
        <v>722159.30161197425</v>
      </c>
      <c r="R11" s="2">
        <f t="shared" si="6"/>
        <v>1</v>
      </c>
      <c r="S11">
        <f t="shared" si="2"/>
        <v>2018</v>
      </c>
    </row>
    <row r="12" spans="1:19" x14ac:dyDescent="0.4">
      <c r="A12" t="s">
        <v>46</v>
      </c>
      <c r="B12" s="1">
        <v>44251</v>
      </c>
      <c r="C12" t="s">
        <v>26</v>
      </c>
      <c r="D12" s="3">
        <v>320726.12</v>
      </c>
      <c r="E12" t="s">
        <v>11</v>
      </c>
      <c r="F12" s="23">
        <f t="shared" si="8"/>
        <v>320726.12</v>
      </c>
      <c r="G12" s="74">
        <v>5000000</v>
      </c>
      <c r="H12" s="3">
        <v>42318.97</v>
      </c>
      <c r="I12" t="s">
        <v>17</v>
      </c>
      <c r="J12" t="s">
        <v>38</v>
      </c>
      <c r="K12" t="s">
        <v>47</v>
      </c>
      <c r="L12">
        <f t="shared" ca="1" si="0"/>
        <v>109854</v>
      </c>
      <c r="M12">
        <v>7</v>
      </c>
      <c r="N12">
        <f t="shared" si="1"/>
        <v>1.071612</v>
      </c>
      <c r="O12" s="24">
        <f t="shared" si="7"/>
        <v>343693.95890544</v>
      </c>
      <c r="P12" s="24">
        <f t="shared" si="4"/>
        <v>298344.44282580004</v>
      </c>
      <c r="Q12" s="26">
        <f t="shared" si="5"/>
        <v>298344.44282580004</v>
      </c>
      <c r="R12" s="2">
        <f t="shared" si="6"/>
        <v>1</v>
      </c>
      <c r="S12">
        <f t="shared" si="2"/>
        <v>2021</v>
      </c>
    </row>
    <row r="13" spans="1:19" x14ac:dyDescent="0.4">
      <c r="A13" t="s">
        <v>48</v>
      </c>
      <c r="B13" s="1">
        <v>44180</v>
      </c>
      <c r="C13" t="s">
        <v>16</v>
      </c>
      <c r="D13" s="3">
        <v>195238.55</v>
      </c>
      <c r="E13" t="s">
        <v>11</v>
      </c>
      <c r="F13" s="23">
        <f t="shared" si="8"/>
        <v>195238.55</v>
      </c>
      <c r="G13" s="74">
        <v>1000000</v>
      </c>
      <c r="H13" s="3">
        <v>25634.69</v>
      </c>
      <c r="I13" t="s">
        <v>22</v>
      </c>
      <c r="J13" t="s">
        <v>23</v>
      </c>
      <c r="K13" t="s">
        <v>49</v>
      </c>
      <c r="L13">
        <f t="shared" ca="1" si="0"/>
        <v>73863</v>
      </c>
      <c r="M13">
        <v>8</v>
      </c>
      <c r="N13">
        <f t="shared" si="1"/>
        <v>1.1037603600000001</v>
      </c>
      <c r="O13" s="24">
        <f t="shared" si="7"/>
        <v>215496.57223387802</v>
      </c>
      <c r="P13" s="24">
        <f t="shared" si="4"/>
        <v>187202.01757098961</v>
      </c>
      <c r="Q13" s="26">
        <f t="shared" si="5"/>
        <v>187202.01757098961</v>
      </c>
      <c r="R13" s="2">
        <f t="shared" si="6"/>
        <v>1</v>
      </c>
      <c r="S13">
        <f t="shared" si="2"/>
        <v>2020</v>
      </c>
    </row>
    <row r="14" spans="1:19" x14ac:dyDescent="0.4">
      <c r="A14" t="s">
        <v>50</v>
      </c>
      <c r="B14" s="1">
        <v>44794</v>
      </c>
      <c r="C14" t="s">
        <v>10</v>
      </c>
      <c r="D14" s="3">
        <v>158738.94</v>
      </c>
      <c r="E14" t="s">
        <v>33</v>
      </c>
      <c r="F14" s="23">
        <f t="shared" si="8"/>
        <v>158738.94</v>
      </c>
      <c r="G14" s="74">
        <v>1000000</v>
      </c>
      <c r="H14" s="3">
        <v>29456.11</v>
      </c>
      <c r="I14" t="s">
        <v>12</v>
      </c>
      <c r="J14" t="s">
        <v>13</v>
      </c>
      <c r="K14" t="s">
        <v>51</v>
      </c>
      <c r="L14">
        <f t="shared" ca="1" si="0"/>
        <v>83597</v>
      </c>
      <c r="M14">
        <v>3</v>
      </c>
      <c r="N14">
        <f t="shared" si="1"/>
        <v>1.0506</v>
      </c>
      <c r="O14" s="24">
        <f t="shared" si="7"/>
        <v>166771.13036400001</v>
      </c>
      <c r="P14" s="24">
        <f t="shared" si="4"/>
        <v>135824.54119799999</v>
      </c>
      <c r="Q14" s="26">
        <f t="shared" si="5"/>
        <v>135824.54119799999</v>
      </c>
      <c r="R14" s="2">
        <f t="shared" si="6"/>
        <v>1</v>
      </c>
      <c r="S14">
        <f t="shared" si="2"/>
        <v>2022</v>
      </c>
    </row>
    <row r="15" spans="1:19" x14ac:dyDescent="0.4">
      <c r="A15" t="s">
        <v>52</v>
      </c>
      <c r="B15" s="1">
        <v>44937</v>
      </c>
      <c r="C15" t="s">
        <v>21</v>
      </c>
      <c r="D15" s="3">
        <v>125309.18</v>
      </c>
      <c r="E15" t="s">
        <v>11</v>
      </c>
      <c r="F15" s="23">
        <f t="shared" si="8"/>
        <v>125309.18</v>
      </c>
      <c r="G15" s="74">
        <v>1000000</v>
      </c>
      <c r="H15" s="3">
        <v>14978.23</v>
      </c>
      <c r="I15" t="s">
        <v>22</v>
      </c>
      <c r="J15" t="s">
        <v>29</v>
      </c>
      <c r="K15" t="s">
        <v>53</v>
      </c>
      <c r="L15">
        <f t="shared" ca="1" si="0"/>
        <v>38388</v>
      </c>
      <c r="M15">
        <v>2</v>
      </c>
      <c r="N15">
        <f t="shared" si="1"/>
        <v>1.03</v>
      </c>
      <c r="O15" s="24">
        <f t="shared" si="7"/>
        <v>129068.45539999999</v>
      </c>
      <c r="P15" s="24">
        <f t="shared" si="4"/>
        <v>113640.87850000001</v>
      </c>
      <c r="Q15" s="26">
        <f t="shared" si="5"/>
        <v>113640.87850000001</v>
      </c>
      <c r="R15" s="2">
        <f t="shared" si="6"/>
        <v>1</v>
      </c>
      <c r="S15">
        <f t="shared" si="2"/>
        <v>2023</v>
      </c>
    </row>
    <row r="16" spans="1:19" x14ac:dyDescent="0.4">
      <c r="A16" t="s">
        <v>54</v>
      </c>
      <c r="B16" s="1">
        <v>43738</v>
      </c>
      <c r="C16" t="s">
        <v>26</v>
      </c>
      <c r="D16" s="3">
        <v>701924.64</v>
      </c>
      <c r="E16" t="s">
        <v>27</v>
      </c>
      <c r="F16" s="23">
        <f t="shared" si="8"/>
        <v>701924.64</v>
      </c>
      <c r="G16" s="74">
        <v>5000000</v>
      </c>
      <c r="H16" s="3">
        <v>24702.67</v>
      </c>
      <c r="I16" t="s">
        <v>17</v>
      </c>
      <c r="J16" t="s">
        <v>18</v>
      </c>
      <c r="K16" t="s">
        <v>55</v>
      </c>
      <c r="L16">
        <f t="shared" ca="1" si="0"/>
        <v>111668</v>
      </c>
      <c r="M16">
        <v>6</v>
      </c>
      <c r="N16">
        <f t="shared" si="1"/>
        <v>1.1479107743999999</v>
      </c>
      <c r="O16" s="24">
        <f t="shared" si="7"/>
        <v>805746.85707284114</v>
      </c>
      <c r="P16" s="24">
        <f t="shared" si="4"/>
        <v>777390.39602339349</v>
      </c>
      <c r="Q16" s="26">
        <f t="shared" si="5"/>
        <v>777390.39602339349</v>
      </c>
      <c r="R16" s="2">
        <f t="shared" si="6"/>
        <v>1</v>
      </c>
      <c r="S16">
        <f t="shared" si="2"/>
        <v>2019</v>
      </c>
    </row>
    <row r="17" spans="1:19" x14ac:dyDescent="0.4">
      <c r="A17" t="s">
        <v>56</v>
      </c>
      <c r="B17" s="1">
        <v>43294</v>
      </c>
      <c r="C17" t="s">
        <v>32</v>
      </c>
      <c r="D17" s="3">
        <v>590732.85</v>
      </c>
      <c r="E17" t="s">
        <v>11</v>
      </c>
      <c r="F17" s="23">
        <f t="shared" si="8"/>
        <v>590732.85</v>
      </c>
      <c r="G17" s="74">
        <v>5000000</v>
      </c>
      <c r="H17" s="3">
        <v>9432.5</v>
      </c>
      <c r="I17" t="s">
        <v>28</v>
      </c>
      <c r="J17" t="s">
        <v>23</v>
      </c>
      <c r="K17" t="s">
        <v>57</v>
      </c>
      <c r="L17">
        <f t="shared" ca="1" si="0"/>
        <v>48018</v>
      </c>
      <c r="M17">
        <v>4</v>
      </c>
      <c r="N17">
        <f t="shared" si="1"/>
        <v>1.2053063131199999</v>
      </c>
      <c r="O17" s="24">
        <f t="shared" si="7"/>
        <v>712014.03347236989</v>
      </c>
      <c r="P17" s="24">
        <f t="shared" si="4"/>
        <v>700644.98167386546</v>
      </c>
      <c r="Q17" s="26">
        <f t="shared" si="5"/>
        <v>700644.98167386546</v>
      </c>
      <c r="R17" s="2">
        <f t="shared" si="6"/>
        <v>1</v>
      </c>
      <c r="S17">
        <f t="shared" si="2"/>
        <v>2018</v>
      </c>
    </row>
    <row r="18" spans="1:19" x14ac:dyDescent="0.4">
      <c r="A18" t="s">
        <v>58</v>
      </c>
      <c r="B18" s="1">
        <v>44288</v>
      </c>
      <c r="C18" t="s">
        <v>10</v>
      </c>
      <c r="D18" s="3">
        <v>358145.93</v>
      </c>
      <c r="E18" t="s">
        <v>11</v>
      </c>
      <c r="F18" s="23">
        <f t="shared" si="8"/>
        <v>358145.93</v>
      </c>
      <c r="G18" s="74">
        <v>2000000</v>
      </c>
      <c r="H18" s="3">
        <v>16920.37</v>
      </c>
      <c r="I18" t="s">
        <v>12</v>
      </c>
      <c r="J18" t="s">
        <v>29</v>
      </c>
      <c r="K18" t="s">
        <v>59</v>
      </c>
      <c r="L18">
        <f t="shared" ca="1" si="0"/>
        <v>38512</v>
      </c>
      <c r="M18">
        <v>7</v>
      </c>
      <c r="N18">
        <f t="shared" si="1"/>
        <v>1.071612</v>
      </c>
      <c r="O18" s="24">
        <f t="shared" si="7"/>
        <v>383793.47633916</v>
      </c>
      <c r="P18" s="24">
        <f t="shared" si="4"/>
        <v>365661.40480272</v>
      </c>
      <c r="Q18" s="26">
        <f t="shared" si="5"/>
        <v>365661.40480272</v>
      </c>
      <c r="R18" s="2">
        <f t="shared" si="6"/>
        <v>1</v>
      </c>
      <c r="S18">
        <f t="shared" si="2"/>
        <v>2021</v>
      </c>
    </row>
    <row r="19" spans="1:19" x14ac:dyDescent="0.4">
      <c r="A19" t="s">
        <v>60</v>
      </c>
      <c r="B19" s="1">
        <v>43641</v>
      </c>
      <c r="C19" t="s">
        <v>21</v>
      </c>
      <c r="D19" s="3">
        <v>453896.75</v>
      </c>
      <c r="E19" t="s">
        <v>11</v>
      </c>
      <c r="F19" s="23">
        <f t="shared" si="8"/>
        <v>453896.75</v>
      </c>
      <c r="G19" s="74">
        <v>500000</v>
      </c>
      <c r="H19" s="3">
        <v>38928.730000000003</v>
      </c>
      <c r="I19" t="s">
        <v>22</v>
      </c>
      <c r="J19" t="s">
        <v>38</v>
      </c>
      <c r="K19" t="s">
        <v>43</v>
      </c>
      <c r="L19">
        <f t="shared" ca="1" si="0"/>
        <v>78807</v>
      </c>
      <c r="M19">
        <v>5</v>
      </c>
      <c r="N19">
        <f t="shared" si="1"/>
        <v>1.1479107743999999</v>
      </c>
      <c r="O19" s="24">
        <f t="shared" si="7"/>
        <v>521032.96979014314</v>
      </c>
      <c r="P19" s="24">
        <f t="shared" si="4"/>
        <v>476346.26118943468</v>
      </c>
      <c r="Q19" s="26">
        <f t="shared" si="5"/>
        <v>476346.26118943468</v>
      </c>
      <c r="R19" s="2">
        <f t="shared" si="6"/>
        <v>1</v>
      </c>
      <c r="S19">
        <f t="shared" si="2"/>
        <v>2019</v>
      </c>
    </row>
    <row r="20" spans="1:19" x14ac:dyDescent="0.4">
      <c r="A20" t="s">
        <v>61</v>
      </c>
      <c r="B20" s="1">
        <v>44754</v>
      </c>
      <c r="C20" t="s">
        <v>16</v>
      </c>
      <c r="D20" s="3">
        <v>195984.65</v>
      </c>
      <c r="E20" t="s">
        <v>33</v>
      </c>
      <c r="F20" s="23">
        <f t="shared" si="8"/>
        <v>195984.65</v>
      </c>
      <c r="G20" s="74">
        <v>500000</v>
      </c>
      <c r="H20" s="3">
        <v>19647.189999999999</v>
      </c>
      <c r="I20" t="s">
        <v>17</v>
      </c>
      <c r="J20" t="s">
        <v>13</v>
      </c>
      <c r="K20" t="s">
        <v>45</v>
      </c>
      <c r="L20">
        <f t="shared" ca="1" si="0"/>
        <v>78510</v>
      </c>
      <c r="M20">
        <v>3</v>
      </c>
      <c r="N20">
        <f t="shared" si="1"/>
        <v>1.0506</v>
      </c>
      <c r="O20" s="24">
        <f t="shared" si="7"/>
        <v>205901.47328999999</v>
      </c>
      <c r="P20" s="24">
        <f t="shared" si="4"/>
        <v>185260.135476</v>
      </c>
      <c r="Q20" s="26">
        <f t="shared" si="5"/>
        <v>185260.135476</v>
      </c>
      <c r="R20" s="2">
        <f t="shared" si="6"/>
        <v>1</v>
      </c>
      <c r="S20">
        <f t="shared" si="2"/>
        <v>2022</v>
      </c>
    </row>
    <row r="21" spans="1:19" x14ac:dyDescent="0.4">
      <c r="A21" t="s">
        <v>62</v>
      </c>
      <c r="B21" s="1">
        <v>43910</v>
      </c>
      <c r="C21" t="s">
        <v>26</v>
      </c>
      <c r="D21" s="3">
        <v>472804.33</v>
      </c>
      <c r="E21" t="s">
        <v>27</v>
      </c>
      <c r="F21" s="23">
        <f t="shared" si="8"/>
        <v>472804.33</v>
      </c>
      <c r="G21" s="74">
        <v>5000000</v>
      </c>
      <c r="H21" s="3">
        <v>45681.29</v>
      </c>
      <c r="I21" t="s">
        <v>28</v>
      </c>
      <c r="J21" t="s">
        <v>18</v>
      </c>
      <c r="K21" t="s">
        <v>39</v>
      </c>
      <c r="L21">
        <f t="shared" ca="1" si="0"/>
        <v>83618</v>
      </c>
      <c r="M21">
        <v>8</v>
      </c>
      <c r="N21">
        <f t="shared" si="1"/>
        <v>1.1037603600000001</v>
      </c>
      <c r="O21" s="24">
        <f t="shared" si="7"/>
        <v>521862.67749035888</v>
      </c>
      <c r="P21" s="24">
        <f t="shared" si="4"/>
        <v>471441.48039469449</v>
      </c>
      <c r="Q21" s="26">
        <f t="shared" si="5"/>
        <v>471441.48039469449</v>
      </c>
      <c r="R21" s="2">
        <f t="shared" si="6"/>
        <v>1</v>
      </c>
      <c r="S21">
        <f t="shared" si="2"/>
        <v>2020</v>
      </c>
    </row>
    <row r="22" spans="1:19" x14ac:dyDescent="0.4">
      <c r="A22" t="s">
        <v>63</v>
      </c>
      <c r="B22" s="1">
        <v>45076</v>
      </c>
      <c r="C22" t="s">
        <v>32</v>
      </c>
      <c r="D22" s="3">
        <v>87924.45</v>
      </c>
      <c r="E22" t="s">
        <v>11</v>
      </c>
      <c r="F22" s="23">
        <f t="shared" si="8"/>
        <v>87924.45</v>
      </c>
      <c r="G22" s="74">
        <v>500000</v>
      </c>
      <c r="H22" s="3">
        <v>23598.21</v>
      </c>
      <c r="I22" t="s">
        <v>17</v>
      </c>
      <c r="J22" t="s">
        <v>38</v>
      </c>
      <c r="K22" t="s">
        <v>51</v>
      </c>
      <c r="L22">
        <f t="shared" ca="1" si="0"/>
        <v>47516</v>
      </c>
      <c r="M22">
        <v>4</v>
      </c>
      <c r="N22">
        <f t="shared" si="1"/>
        <v>1.03</v>
      </c>
      <c r="O22" s="24">
        <f t="shared" si="7"/>
        <v>90562.183499999999</v>
      </c>
      <c r="P22" s="24">
        <f t="shared" si="4"/>
        <v>66256.027199999997</v>
      </c>
      <c r="Q22" s="26">
        <f t="shared" si="5"/>
        <v>66256.027199999997</v>
      </c>
      <c r="R22" s="2">
        <f t="shared" si="6"/>
        <v>1</v>
      </c>
      <c r="S22">
        <f t="shared" si="2"/>
        <v>2023</v>
      </c>
    </row>
    <row r="23" spans="1:19" x14ac:dyDescent="0.4">
      <c r="A23" t="s">
        <v>64</v>
      </c>
      <c r="B23" s="1">
        <v>44533</v>
      </c>
      <c r="C23" t="s">
        <v>10</v>
      </c>
      <c r="D23" s="3">
        <v>654327.44999999995</v>
      </c>
      <c r="E23" t="s">
        <v>11</v>
      </c>
      <c r="F23" s="23">
        <f t="shared" si="8"/>
        <v>654327.44999999995</v>
      </c>
      <c r="G23" s="74">
        <v>5000000</v>
      </c>
      <c r="H23" s="3">
        <v>18702.73</v>
      </c>
      <c r="I23" t="s">
        <v>12</v>
      </c>
      <c r="J23" t="s">
        <v>18</v>
      </c>
      <c r="K23" t="s">
        <v>65</v>
      </c>
      <c r="L23">
        <f t="shared" ca="1" si="0"/>
        <v>28718</v>
      </c>
      <c r="M23">
        <v>7</v>
      </c>
      <c r="N23">
        <f t="shared" si="1"/>
        <v>1.071612</v>
      </c>
      <c r="O23" s="24">
        <f t="shared" si="7"/>
        <v>701185.14734939998</v>
      </c>
      <c r="P23" s="24">
        <f t="shared" si="4"/>
        <v>681143.07744864002</v>
      </c>
      <c r="Q23" s="26">
        <f t="shared" si="5"/>
        <v>681143.07744864002</v>
      </c>
      <c r="R23" s="2">
        <f t="shared" si="6"/>
        <v>1</v>
      </c>
      <c r="S23">
        <f t="shared" si="2"/>
        <v>2021</v>
      </c>
    </row>
    <row r="24" spans="1:19" x14ac:dyDescent="0.4">
      <c r="A24" t="s">
        <v>66</v>
      </c>
      <c r="B24" s="1">
        <v>43993</v>
      </c>
      <c r="C24" t="s">
        <v>21</v>
      </c>
      <c r="D24" s="3">
        <v>231548.73</v>
      </c>
      <c r="E24" t="s">
        <v>27</v>
      </c>
      <c r="F24" s="23">
        <f t="shared" si="8"/>
        <v>231548.73</v>
      </c>
      <c r="G24" s="74">
        <v>500000</v>
      </c>
      <c r="H24" s="3">
        <v>36928.379999999997</v>
      </c>
      <c r="I24" t="s">
        <v>22</v>
      </c>
      <c r="J24" t="s">
        <v>29</v>
      </c>
      <c r="K24" t="s">
        <v>24</v>
      </c>
      <c r="L24">
        <f t="shared" ca="1" si="0"/>
        <v>46535</v>
      </c>
      <c r="M24">
        <v>5</v>
      </c>
      <c r="N24">
        <f t="shared" si="1"/>
        <v>1.1037603600000001</v>
      </c>
      <c r="O24" s="24">
        <f t="shared" si="7"/>
        <v>255574.30958234283</v>
      </c>
      <c r="P24" s="24">
        <f t="shared" si="4"/>
        <v>214814.22757932602</v>
      </c>
      <c r="Q24" s="26">
        <f t="shared" si="5"/>
        <v>214814.22757932602</v>
      </c>
      <c r="R24" s="2">
        <f t="shared" si="6"/>
        <v>1</v>
      </c>
      <c r="S24">
        <f t="shared" si="2"/>
        <v>2020</v>
      </c>
    </row>
    <row r="25" spans="1:19" x14ac:dyDescent="0.4">
      <c r="A25" t="s">
        <v>67</v>
      </c>
      <c r="B25" s="1">
        <v>43695</v>
      </c>
      <c r="C25" t="s">
        <v>26</v>
      </c>
      <c r="D25" s="3">
        <v>194738.52</v>
      </c>
      <c r="E25" t="s">
        <v>33</v>
      </c>
      <c r="F25" s="23">
        <f t="shared" si="8"/>
        <v>194738.52</v>
      </c>
      <c r="G25" s="74">
        <v>500000</v>
      </c>
      <c r="H25" s="3">
        <v>15439.27</v>
      </c>
      <c r="I25" t="s">
        <v>28</v>
      </c>
      <c r="J25" t="s">
        <v>13</v>
      </c>
      <c r="K25" t="s">
        <v>30</v>
      </c>
      <c r="L25">
        <f t="shared" ca="1" si="0"/>
        <v>68430</v>
      </c>
      <c r="M25">
        <v>8</v>
      </c>
      <c r="N25">
        <f t="shared" si="1"/>
        <v>1.1479107743999999</v>
      </c>
      <c r="O25" s="24">
        <f t="shared" si="7"/>
        <v>223542.44529870985</v>
      </c>
      <c r="P25" s="24">
        <f t="shared" si="4"/>
        <v>205819.54091683918</v>
      </c>
      <c r="Q25" s="26">
        <f t="shared" si="5"/>
        <v>205819.54091683918</v>
      </c>
      <c r="R25" s="2">
        <f t="shared" si="6"/>
        <v>1</v>
      </c>
      <c r="S25">
        <f t="shared" si="2"/>
        <v>2019</v>
      </c>
    </row>
    <row r="26" spans="1:19" x14ac:dyDescent="0.4">
      <c r="A26" t="s">
        <v>68</v>
      </c>
      <c r="B26" s="1">
        <v>44818</v>
      </c>
      <c r="C26" t="s">
        <v>16</v>
      </c>
      <c r="D26" s="3">
        <v>872394.65</v>
      </c>
      <c r="E26" t="s">
        <v>11</v>
      </c>
      <c r="F26" s="23">
        <f t="shared" si="8"/>
        <v>872394.65</v>
      </c>
      <c r="G26" s="74">
        <v>10000000</v>
      </c>
      <c r="H26" s="3">
        <v>24502.38</v>
      </c>
      <c r="I26" t="s">
        <v>12</v>
      </c>
      <c r="J26" t="s">
        <v>23</v>
      </c>
      <c r="K26" t="s">
        <v>19</v>
      </c>
      <c r="L26">
        <f t="shared" ca="1" si="0"/>
        <v>69818</v>
      </c>
      <c r="M26">
        <v>2</v>
      </c>
      <c r="N26">
        <f t="shared" si="1"/>
        <v>1.0506</v>
      </c>
      <c r="O26" s="24">
        <f t="shared" si="7"/>
        <v>916537.81929000001</v>
      </c>
      <c r="P26" s="24">
        <f t="shared" si="4"/>
        <v>890795.61886199994</v>
      </c>
      <c r="Q26" s="26">
        <f t="shared" si="5"/>
        <v>890795.61886199994</v>
      </c>
      <c r="R26" s="2">
        <f t="shared" si="6"/>
        <v>1</v>
      </c>
      <c r="S26">
        <f t="shared" si="2"/>
        <v>2022</v>
      </c>
    </row>
    <row r="27" spans="1:19" x14ac:dyDescent="0.4">
      <c r="A27" t="s">
        <v>69</v>
      </c>
      <c r="B27" s="1">
        <v>43223</v>
      </c>
      <c r="C27" t="s">
        <v>10</v>
      </c>
      <c r="D27" s="3">
        <v>508739.15</v>
      </c>
      <c r="E27" t="s">
        <v>11</v>
      </c>
      <c r="F27" s="23">
        <f t="shared" si="8"/>
        <v>508739.15</v>
      </c>
      <c r="G27" s="74">
        <v>5000000</v>
      </c>
      <c r="H27" s="3">
        <v>11982.54</v>
      </c>
      <c r="I27" t="s">
        <v>17</v>
      </c>
      <c r="J27" t="s">
        <v>38</v>
      </c>
      <c r="K27" t="s">
        <v>14</v>
      </c>
      <c r="L27">
        <f t="shared" ca="1" si="0"/>
        <v>91632</v>
      </c>
      <c r="M27">
        <v>3</v>
      </c>
      <c r="N27">
        <f t="shared" si="1"/>
        <v>1.2053063131199999</v>
      </c>
      <c r="O27" s="24">
        <f t="shared" si="7"/>
        <v>613186.50922630262</v>
      </c>
      <c r="P27" s="24">
        <f t="shared" si="4"/>
        <v>598743.87811708974</v>
      </c>
      <c r="Q27" s="26">
        <f t="shared" si="5"/>
        <v>598743.87811708974</v>
      </c>
      <c r="R27" s="2">
        <f t="shared" si="6"/>
        <v>1</v>
      </c>
      <c r="S27">
        <f t="shared" si="2"/>
        <v>2018</v>
      </c>
    </row>
    <row r="28" spans="1:19" x14ac:dyDescent="0.4">
      <c r="A28" t="s">
        <v>70</v>
      </c>
      <c r="B28" s="1">
        <v>44497</v>
      </c>
      <c r="C28" t="s">
        <v>21</v>
      </c>
      <c r="D28" s="3">
        <v>376234.78</v>
      </c>
      <c r="E28" t="s">
        <v>11</v>
      </c>
      <c r="F28" s="23">
        <f t="shared" si="8"/>
        <v>376234.78</v>
      </c>
      <c r="G28" s="74">
        <v>2000000</v>
      </c>
      <c r="H28" s="3">
        <v>29748.62</v>
      </c>
      <c r="I28" t="s">
        <v>22</v>
      </c>
      <c r="J28" t="s">
        <v>13</v>
      </c>
      <c r="K28" t="s">
        <v>49</v>
      </c>
      <c r="L28">
        <f t="shared" ca="1" si="0"/>
        <v>52157</v>
      </c>
      <c r="M28">
        <v>7</v>
      </c>
      <c r="N28">
        <f t="shared" si="1"/>
        <v>1.071612</v>
      </c>
      <c r="O28" s="24">
        <f t="shared" si="7"/>
        <v>403177.70506536006</v>
      </c>
      <c r="P28" s="24">
        <f t="shared" si="4"/>
        <v>371298.72688992001</v>
      </c>
      <c r="Q28" s="26">
        <f t="shared" si="5"/>
        <v>371298.72688992001</v>
      </c>
      <c r="R28" s="2">
        <f t="shared" si="6"/>
        <v>1</v>
      </c>
      <c r="S28">
        <f t="shared" si="2"/>
        <v>2021</v>
      </c>
    </row>
    <row r="29" spans="1:19" x14ac:dyDescent="0.4">
      <c r="A29" t="s">
        <v>71</v>
      </c>
      <c r="B29" s="1">
        <v>43937</v>
      </c>
      <c r="C29" t="s">
        <v>26</v>
      </c>
      <c r="D29" s="3">
        <v>129803.75</v>
      </c>
      <c r="E29" t="s">
        <v>33</v>
      </c>
      <c r="F29" s="23">
        <f t="shared" si="8"/>
        <v>129803.75</v>
      </c>
      <c r="G29" s="74">
        <v>1000000</v>
      </c>
      <c r="H29" s="3">
        <v>32920.129999999997</v>
      </c>
      <c r="I29" t="s">
        <v>28</v>
      </c>
      <c r="J29" t="s">
        <v>29</v>
      </c>
      <c r="K29" t="s">
        <v>72</v>
      </c>
      <c r="L29">
        <f t="shared" ca="1" si="0"/>
        <v>108307</v>
      </c>
      <c r="M29">
        <v>4</v>
      </c>
      <c r="N29">
        <f t="shared" si="1"/>
        <v>1.1037603600000001</v>
      </c>
      <c r="O29" s="24">
        <f t="shared" si="7"/>
        <v>143272.23382935001</v>
      </c>
      <c r="P29" s="24">
        <f t="shared" si="4"/>
        <v>106936.29928930321</v>
      </c>
      <c r="Q29" s="26">
        <f t="shared" si="5"/>
        <v>106936.29928930321</v>
      </c>
      <c r="R29" s="2">
        <f t="shared" si="6"/>
        <v>1</v>
      </c>
      <c r="S29">
        <f t="shared" si="2"/>
        <v>2020</v>
      </c>
    </row>
    <row r="30" spans="1:19" x14ac:dyDescent="0.4">
      <c r="A30" t="s">
        <v>73</v>
      </c>
      <c r="B30" s="1">
        <v>45114</v>
      </c>
      <c r="C30" t="s">
        <v>16</v>
      </c>
      <c r="D30" s="3">
        <v>731235.83999999997</v>
      </c>
      <c r="E30" t="s">
        <v>11</v>
      </c>
      <c r="F30" s="23">
        <f t="shared" si="8"/>
        <v>731235.83999999997</v>
      </c>
      <c r="G30" s="74">
        <v>5000000</v>
      </c>
      <c r="H30" s="3">
        <v>18936.25</v>
      </c>
      <c r="I30" t="s">
        <v>17</v>
      </c>
      <c r="J30" t="s">
        <v>18</v>
      </c>
      <c r="K30" t="s">
        <v>55</v>
      </c>
      <c r="L30">
        <f t="shared" ca="1" si="0"/>
        <v>20289</v>
      </c>
      <c r="M30">
        <v>2</v>
      </c>
      <c r="N30">
        <f t="shared" si="1"/>
        <v>1.03</v>
      </c>
      <c r="O30" s="24">
        <f t="shared" si="7"/>
        <v>753172.91519999993</v>
      </c>
      <c r="P30" s="24">
        <f t="shared" si="4"/>
        <v>733668.57770000002</v>
      </c>
      <c r="Q30" s="26">
        <f t="shared" si="5"/>
        <v>733668.57770000002</v>
      </c>
      <c r="R30" s="2">
        <f t="shared" si="6"/>
        <v>1</v>
      </c>
      <c r="S30">
        <f t="shared" si="2"/>
        <v>2023</v>
      </c>
    </row>
    <row r="31" spans="1:19" x14ac:dyDescent="0.4">
      <c r="A31" t="s">
        <v>74</v>
      </c>
      <c r="B31" s="1">
        <v>43487</v>
      </c>
      <c r="C31" t="s">
        <v>10</v>
      </c>
      <c r="D31" s="3">
        <v>158924.78</v>
      </c>
      <c r="E31" t="s">
        <v>11</v>
      </c>
      <c r="F31" s="23">
        <f t="shared" si="8"/>
        <v>158924.78</v>
      </c>
      <c r="G31" s="74">
        <v>1000000</v>
      </c>
      <c r="H31" s="3">
        <v>15728.95</v>
      </c>
      <c r="I31" t="s">
        <v>12</v>
      </c>
      <c r="J31" t="s">
        <v>38</v>
      </c>
      <c r="K31" t="s">
        <v>57</v>
      </c>
      <c r="L31">
        <f t="shared" ca="1" si="0"/>
        <v>53938</v>
      </c>
      <c r="M31">
        <v>6</v>
      </c>
      <c r="N31">
        <f t="shared" si="1"/>
        <v>1.1479107743999999</v>
      </c>
      <c r="O31" s="24">
        <f t="shared" si="7"/>
        <v>182431.46728114961</v>
      </c>
      <c r="P31" s="24">
        <f t="shared" si="4"/>
        <v>164376.03610615071</v>
      </c>
      <c r="Q31" s="26">
        <f t="shared" si="5"/>
        <v>164376.03610615071</v>
      </c>
      <c r="R31" s="2">
        <f t="shared" si="6"/>
        <v>1</v>
      </c>
      <c r="S31">
        <f t="shared" si="2"/>
        <v>2019</v>
      </c>
    </row>
    <row r="32" spans="1:19" x14ac:dyDescent="0.4">
      <c r="A32" t="s">
        <v>75</v>
      </c>
      <c r="B32" s="1">
        <v>44874</v>
      </c>
      <c r="C32" t="s">
        <v>21</v>
      </c>
      <c r="D32" s="3">
        <v>439832.24</v>
      </c>
      <c r="E32" t="s">
        <v>11</v>
      </c>
      <c r="F32" s="23">
        <f t="shared" si="8"/>
        <v>439832.24</v>
      </c>
      <c r="G32" s="74">
        <v>2000000</v>
      </c>
      <c r="H32" s="3">
        <v>31803.94</v>
      </c>
      <c r="I32" t="s">
        <v>22</v>
      </c>
      <c r="J32" t="s">
        <v>18</v>
      </c>
      <c r="K32" t="s">
        <v>76</v>
      </c>
      <c r="L32">
        <f t="shared" ca="1" si="0"/>
        <v>87712</v>
      </c>
      <c r="M32">
        <v>8</v>
      </c>
      <c r="N32">
        <f t="shared" si="1"/>
        <v>1.0506</v>
      </c>
      <c r="O32" s="24">
        <f t="shared" si="7"/>
        <v>462087.75134399999</v>
      </c>
      <c r="P32" s="24">
        <f t="shared" si="4"/>
        <v>428674.53197999997</v>
      </c>
      <c r="Q32" s="26">
        <f t="shared" si="5"/>
        <v>428674.53197999997</v>
      </c>
      <c r="R32" s="2">
        <f t="shared" si="6"/>
        <v>1</v>
      </c>
      <c r="S32">
        <f t="shared" si="2"/>
        <v>2022</v>
      </c>
    </row>
    <row r="33" spans="1:19" x14ac:dyDescent="0.4">
      <c r="A33" t="s">
        <v>77</v>
      </c>
      <c r="B33" s="1">
        <v>44056</v>
      </c>
      <c r="C33" t="s">
        <v>26</v>
      </c>
      <c r="D33" s="3">
        <v>690239.58</v>
      </c>
      <c r="E33" t="s">
        <v>33</v>
      </c>
      <c r="F33" s="23">
        <f t="shared" si="8"/>
        <v>690239.58</v>
      </c>
      <c r="G33" s="74">
        <v>5000000</v>
      </c>
      <c r="H33" s="3">
        <v>27392.54</v>
      </c>
      <c r="I33" t="s">
        <v>28</v>
      </c>
      <c r="J33" t="s">
        <v>23</v>
      </c>
      <c r="K33" t="s">
        <v>36</v>
      </c>
      <c r="L33">
        <f t="shared" ca="1" si="0"/>
        <v>91427</v>
      </c>
      <c r="M33">
        <v>7</v>
      </c>
      <c r="N33">
        <f t="shared" si="1"/>
        <v>1.1037603600000001</v>
      </c>
      <c r="O33" s="24">
        <f t="shared" si="7"/>
        <v>761859.08730704885</v>
      </c>
      <c r="P33" s="24">
        <f t="shared" si="4"/>
        <v>731624.2874953344</v>
      </c>
      <c r="Q33" s="26">
        <f t="shared" si="5"/>
        <v>731624.2874953344</v>
      </c>
      <c r="R33" s="2">
        <f t="shared" si="6"/>
        <v>1</v>
      </c>
      <c r="S33">
        <f t="shared" si="2"/>
        <v>2020</v>
      </c>
    </row>
    <row r="34" spans="1:19" x14ac:dyDescent="0.4">
      <c r="A34" t="s">
        <v>78</v>
      </c>
      <c r="B34" s="1">
        <v>44350</v>
      </c>
      <c r="C34" t="s">
        <v>32</v>
      </c>
      <c r="D34" s="3">
        <v>215983.48</v>
      </c>
      <c r="E34" t="s">
        <v>11</v>
      </c>
      <c r="F34" s="23">
        <f t="shared" si="8"/>
        <v>215983.48</v>
      </c>
      <c r="G34" s="74">
        <v>2000000</v>
      </c>
      <c r="H34" s="3">
        <v>20984.38</v>
      </c>
      <c r="I34" t="s">
        <v>17</v>
      </c>
      <c r="J34" t="s">
        <v>13</v>
      </c>
      <c r="K34" t="s">
        <v>53</v>
      </c>
      <c r="L34">
        <f t="shared" ref="L34:L65" ca="1" si="9">IF(C34="Cargo Liability",RANDBETWEEN(10000,80000),IF(C34="Collision Liability",RANDBETWEEN(20000,100000),IF(C34="Environmental Pollution",RANDBETWEEN(50000,120000),IF(C34="Damage to Other Vessels",RANDBETWEEN(15000,90000),IF(C34="Injury to Third Parties",RANDBETWEEN(5000,60000))))))</f>
        <v>28813</v>
      </c>
      <c r="M34">
        <v>4</v>
      </c>
      <c r="N34">
        <f t="shared" ref="N34:N65" si="10">IF(YEAR(B34)=2023, 1.03,
   IF(YEAR(B34)=2022, 1.0506,
   IF(YEAR(B34)=2021, 1.071612,
   IF(YEAR(B34)=2020, 1.10376036,
   IF(YEAR(B34)=2019, 1.1479107744,
   IF(YEAR(B34)=2018, 1.20530631312, 1))))))</f>
        <v>1.071612</v>
      </c>
      <c r="O34" s="24">
        <f t="shared" si="7"/>
        <v>231450.48896976002</v>
      </c>
      <c r="P34" s="24">
        <f t="shared" si="4"/>
        <v>208963.37554920002</v>
      </c>
      <c r="Q34" s="26">
        <f t="shared" si="5"/>
        <v>208963.37554920002</v>
      </c>
      <c r="R34" s="2">
        <f t="shared" si="6"/>
        <v>1</v>
      </c>
      <c r="S34">
        <f t="shared" ref="S34:S66" si="11">YEAR(B34)</f>
        <v>2021</v>
      </c>
    </row>
    <row r="35" spans="1:19" x14ac:dyDescent="0.4">
      <c r="A35" t="s">
        <v>79</v>
      </c>
      <c r="B35" s="1">
        <v>43785</v>
      </c>
      <c r="C35" t="s">
        <v>10</v>
      </c>
      <c r="D35" s="3">
        <v>507983.42</v>
      </c>
      <c r="E35" t="s">
        <v>27</v>
      </c>
      <c r="F35" s="23">
        <f t="shared" si="8"/>
        <v>507983.42</v>
      </c>
      <c r="G35" s="74">
        <v>5000000</v>
      </c>
      <c r="H35" s="3">
        <v>35183.26</v>
      </c>
      <c r="I35" t="s">
        <v>12</v>
      </c>
      <c r="J35" t="s">
        <v>29</v>
      </c>
      <c r="K35" t="s">
        <v>43</v>
      </c>
      <c r="L35">
        <f t="shared" ca="1" si="9"/>
        <v>86266</v>
      </c>
      <c r="M35">
        <v>2</v>
      </c>
      <c r="N35">
        <f t="shared" si="10"/>
        <v>1.1479107743999999</v>
      </c>
      <c r="O35" s="24">
        <f t="shared" si="7"/>
        <v>583119.64103456039</v>
      </c>
      <c r="P35" s="24">
        <f t="shared" si="4"/>
        <v>542732.39780204382</v>
      </c>
      <c r="Q35" s="26">
        <f t="shared" si="5"/>
        <v>542732.39780204382</v>
      </c>
      <c r="R35" s="2">
        <f t="shared" si="6"/>
        <v>1</v>
      </c>
      <c r="S35">
        <f t="shared" si="11"/>
        <v>2019</v>
      </c>
    </row>
    <row r="36" spans="1:19" x14ac:dyDescent="0.4">
      <c r="A36" t="s">
        <v>80</v>
      </c>
      <c r="B36" s="1">
        <v>43463</v>
      </c>
      <c r="C36" t="s">
        <v>21</v>
      </c>
      <c r="D36" s="3">
        <v>451973.22</v>
      </c>
      <c r="E36" t="s">
        <v>11</v>
      </c>
      <c r="F36" s="23">
        <f t="shared" si="8"/>
        <v>451973.22</v>
      </c>
      <c r="G36" s="74">
        <v>500000</v>
      </c>
      <c r="H36" s="3">
        <v>28345.91</v>
      </c>
      <c r="I36" t="s">
        <v>22</v>
      </c>
      <c r="J36" t="s">
        <v>23</v>
      </c>
      <c r="K36" t="s">
        <v>41</v>
      </c>
      <c r="L36">
        <f t="shared" ca="1" si="9"/>
        <v>63311</v>
      </c>
      <c r="M36">
        <v>4</v>
      </c>
      <c r="N36">
        <f t="shared" si="10"/>
        <v>1.2053063131199999</v>
      </c>
      <c r="O36" s="24">
        <f t="shared" si="7"/>
        <v>544766.17542717454</v>
      </c>
      <c r="P36" s="24">
        <f t="shared" si="4"/>
        <v>510600.67115304328</v>
      </c>
      <c r="Q36" s="26">
        <f t="shared" si="5"/>
        <v>500000</v>
      </c>
      <c r="R36" s="2">
        <f t="shared" si="6"/>
        <v>1</v>
      </c>
      <c r="S36">
        <f t="shared" si="11"/>
        <v>2018</v>
      </c>
    </row>
    <row r="37" spans="1:19" x14ac:dyDescent="0.4">
      <c r="A37" t="s">
        <v>82</v>
      </c>
      <c r="B37" s="1">
        <v>44423</v>
      </c>
      <c r="C37" t="s">
        <v>16</v>
      </c>
      <c r="D37" s="3">
        <v>289524.33</v>
      </c>
      <c r="E37" t="s">
        <v>11</v>
      </c>
      <c r="F37" s="23">
        <f t="shared" si="8"/>
        <v>289524.33</v>
      </c>
      <c r="G37" s="74">
        <v>2000000</v>
      </c>
      <c r="H37" s="3">
        <v>24839.279999999999</v>
      </c>
      <c r="I37" t="s">
        <v>17</v>
      </c>
      <c r="J37" t="s">
        <v>18</v>
      </c>
      <c r="K37" t="s">
        <v>47</v>
      </c>
      <c r="L37">
        <f t="shared" ca="1" si="9"/>
        <v>50444</v>
      </c>
      <c r="M37">
        <v>3</v>
      </c>
      <c r="N37">
        <f t="shared" si="10"/>
        <v>1.071612</v>
      </c>
      <c r="O37" s="24">
        <f t="shared" si="7"/>
        <v>310257.74631996005</v>
      </c>
      <c r="P37" s="24">
        <f t="shared" si="4"/>
        <v>283639.67580060003</v>
      </c>
      <c r="Q37" s="26">
        <f t="shared" si="5"/>
        <v>283639.67580060003</v>
      </c>
      <c r="R37" s="2">
        <f t="shared" si="6"/>
        <v>1</v>
      </c>
      <c r="S37">
        <f t="shared" si="11"/>
        <v>2021</v>
      </c>
    </row>
    <row r="38" spans="1:19" x14ac:dyDescent="0.4">
      <c r="A38" t="s">
        <v>83</v>
      </c>
      <c r="B38" s="1">
        <v>43867</v>
      </c>
      <c r="C38" t="s">
        <v>26</v>
      </c>
      <c r="D38" s="3">
        <v>674832.75</v>
      </c>
      <c r="E38" t="s">
        <v>27</v>
      </c>
      <c r="F38" s="23">
        <f t="shared" si="8"/>
        <v>674832.75</v>
      </c>
      <c r="G38" s="74">
        <v>5000000</v>
      </c>
      <c r="H38" s="3">
        <v>41283.54</v>
      </c>
      <c r="I38" t="s">
        <v>28</v>
      </c>
      <c r="J38" t="s">
        <v>29</v>
      </c>
      <c r="K38" t="s">
        <v>34</v>
      </c>
      <c r="L38">
        <f t="shared" ca="1" si="9"/>
        <v>77096</v>
      </c>
      <c r="M38">
        <v>5</v>
      </c>
      <c r="N38">
        <f t="shared" si="10"/>
        <v>1.1037603600000001</v>
      </c>
      <c r="O38" s="24">
        <f t="shared" si="7"/>
        <v>744853.6390797901</v>
      </c>
      <c r="P38" s="24">
        <f t="shared" si="4"/>
        <v>699286.50410731568</v>
      </c>
      <c r="Q38" s="26">
        <f t="shared" si="5"/>
        <v>699286.50410731568</v>
      </c>
      <c r="R38" s="2">
        <f t="shared" si="6"/>
        <v>1</v>
      </c>
      <c r="S38">
        <f t="shared" si="11"/>
        <v>2020</v>
      </c>
    </row>
    <row r="39" spans="1:19" x14ac:dyDescent="0.4">
      <c r="A39" t="s">
        <v>84</v>
      </c>
      <c r="B39" s="1">
        <v>45027</v>
      </c>
      <c r="C39" t="s">
        <v>32</v>
      </c>
      <c r="D39" s="3">
        <v>289523.34000000003</v>
      </c>
      <c r="E39" t="s">
        <v>33</v>
      </c>
      <c r="F39" s="23">
        <f t="shared" si="8"/>
        <v>289523.34000000003</v>
      </c>
      <c r="G39" s="74">
        <v>2000000</v>
      </c>
      <c r="H39" s="3">
        <v>27394.74</v>
      </c>
      <c r="I39" t="s">
        <v>12</v>
      </c>
      <c r="J39" t="s">
        <v>38</v>
      </c>
      <c r="K39" t="s">
        <v>65</v>
      </c>
      <c r="L39">
        <f t="shared" ca="1" si="9"/>
        <v>42375</v>
      </c>
      <c r="M39">
        <v>8</v>
      </c>
      <c r="N39">
        <f t="shared" si="10"/>
        <v>1.03</v>
      </c>
      <c r="O39" s="24">
        <f t="shared" si="7"/>
        <v>298209.04020000005</v>
      </c>
      <c r="P39" s="24">
        <f t="shared" si="4"/>
        <v>269992.45800000004</v>
      </c>
      <c r="Q39" s="26">
        <f t="shared" si="5"/>
        <v>269992.45800000004</v>
      </c>
      <c r="R39" s="2">
        <f t="shared" si="6"/>
        <v>1</v>
      </c>
      <c r="S39">
        <f t="shared" si="11"/>
        <v>2023</v>
      </c>
    </row>
    <row r="40" spans="1:19" x14ac:dyDescent="0.4">
      <c r="A40" t="s">
        <v>85</v>
      </c>
      <c r="B40" s="1">
        <v>44571</v>
      </c>
      <c r="C40" t="s">
        <v>10</v>
      </c>
      <c r="D40" s="3">
        <v>492783.45</v>
      </c>
      <c r="E40" t="s">
        <v>11</v>
      </c>
      <c r="F40" s="23">
        <f t="shared" si="8"/>
        <v>492783.45</v>
      </c>
      <c r="G40" s="74">
        <v>2000000</v>
      </c>
      <c r="H40" s="3">
        <v>19284.28</v>
      </c>
      <c r="I40" t="s">
        <v>17</v>
      </c>
      <c r="J40" t="s">
        <v>13</v>
      </c>
      <c r="K40" t="s">
        <v>39</v>
      </c>
      <c r="L40">
        <f t="shared" ca="1" si="9"/>
        <v>79127</v>
      </c>
      <c r="M40">
        <v>6</v>
      </c>
      <c r="N40">
        <f t="shared" si="10"/>
        <v>1.0506</v>
      </c>
      <c r="O40" s="24">
        <f t="shared" si="7"/>
        <v>517718.29256999999</v>
      </c>
      <c r="P40" s="24">
        <f t="shared" si="4"/>
        <v>497458.22800200002</v>
      </c>
      <c r="Q40" s="26">
        <f t="shared" si="5"/>
        <v>497458.22800200002</v>
      </c>
      <c r="R40" s="2">
        <f t="shared" si="6"/>
        <v>1</v>
      </c>
      <c r="S40">
        <f t="shared" si="11"/>
        <v>2022</v>
      </c>
    </row>
    <row r="41" spans="1:19" x14ac:dyDescent="0.4">
      <c r="A41" t="s">
        <v>86</v>
      </c>
      <c r="B41" s="1">
        <v>43711</v>
      </c>
      <c r="C41" t="s">
        <v>21</v>
      </c>
      <c r="D41" s="3">
        <v>812739.57</v>
      </c>
      <c r="E41" t="s">
        <v>11</v>
      </c>
      <c r="F41" s="23">
        <f t="shared" si="8"/>
        <v>812739.57</v>
      </c>
      <c r="G41" s="74">
        <v>5000000</v>
      </c>
      <c r="H41" s="3">
        <v>38293.449999999997</v>
      </c>
      <c r="I41" t="s">
        <v>22</v>
      </c>
      <c r="J41" t="s">
        <v>38</v>
      </c>
      <c r="K41" t="s">
        <v>72</v>
      </c>
      <c r="L41">
        <f t="shared" ca="1" si="9"/>
        <v>24960</v>
      </c>
      <c r="M41">
        <v>7</v>
      </c>
      <c r="N41">
        <f t="shared" si="10"/>
        <v>1.1479107743999999</v>
      </c>
      <c r="O41" s="24">
        <f t="shared" si="7"/>
        <v>932952.5091842229</v>
      </c>
      <c r="P41" s="24">
        <f t="shared" si="4"/>
        <v>888995.04534027528</v>
      </c>
      <c r="Q41" s="26">
        <f t="shared" si="5"/>
        <v>888995.04534027528</v>
      </c>
      <c r="R41" s="2">
        <f t="shared" si="6"/>
        <v>1</v>
      </c>
      <c r="S41">
        <f t="shared" si="11"/>
        <v>2019</v>
      </c>
    </row>
    <row r="42" spans="1:19" x14ac:dyDescent="0.4">
      <c r="A42" t="s">
        <v>87</v>
      </c>
      <c r="B42" s="1">
        <v>44514</v>
      </c>
      <c r="C42" t="s">
        <v>26</v>
      </c>
      <c r="D42" s="3">
        <v>523987.21</v>
      </c>
      <c r="E42" t="s">
        <v>27</v>
      </c>
      <c r="F42" s="23">
        <f t="shared" si="8"/>
        <v>523987.21</v>
      </c>
      <c r="G42" s="74">
        <v>5000000</v>
      </c>
      <c r="H42" s="3">
        <v>25893.27</v>
      </c>
      <c r="I42" t="s">
        <v>28</v>
      </c>
      <c r="J42" t="s">
        <v>18</v>
      </c>
      <c r="K42" t="s">
        <v>45</v>
      </c>
      <c r="L42">
        <f t="shared" ca="1" si="9"/>
        <v>99186</v>
      </c>
      <c r="M42">
        <v>2</v>
      </c>
      <c r="N42">
        <f t="shared" si="10"/>
        <v>1.071612</v>
      </c>
      <c r="O42" s="24">
        <f t="shared" si="7"/>
        <v>561510.98208252003</v>
      </c>
      <c r="P42" s="24">
        <f t="shared" si="4"/>
        <v>533763.44323127996</v>
      </c>
      <c r="Q42" s="26">
        <f t="shared" si="5"/>
        <v>533763.44323127996</v>
      </c>
      <c r="R42" s="2">
        <f t="shared" si="6"/>
        <v>1</v>
      </c>
      <c r="S42">
        <f t="shared" si="11"/>
        <v>2021</v>
      </c>
    </row>
    <row r="43" spans="1:19" x14ac:dyDescent="0.4">
      <c r="A43" t="s">
        <v>88</v>
      </c>
      <c r="B43" s="1">
        <v>44985</v>
      </c>
      <c r="C43" t="s">
        <v>16</v>
      </c>
      <c r="D43" s="3">
        <v>392873.65</v>
      </c>
      <c r="E43" t="s">
        <v>11</v>
      </c>
      <c r="F43" s="23">
        <f t="shared" si="8"/>
        <v>392873.65</v>
      </c>
      <c r="G43" s="74">
        <v>2000000</v>
      </c>
      <c r="H43" s="3">
        <v>31847.45</v>
      </c>
      <c r="I43" t="s">
        <v>17</v>
      </c>
      <c r="J43" t="s">
        <v>23</v>
      </c>
      <c r="K43" t="s">
        <v>19</v>
      </c>
      <c r="L43">
        <f t="shared" ca="1" si="9"/>
        <v>36770</v>
      </c>
      <c r="M43">
        <v>5</v>
      </c>
      <c r="N43">
        <f t="shared" si="10"/>
        <v>1.03</v>
      </c>
      <c r="O43" s="24">
        <f t="shared" si="7"/>
        <v>404659.85950000002</v>
      </c>
      <c r="P43" s="24">
        <f t="shared" si="4"/>
        <v>371856.98600000003</v>
      </c>
      <c r="Q43" s="26">
        <f t="shared" si="5"/>
        <v>371856.98600000003</v>
      </c>
      <c r="R43" s="2">
        <f t="shared" si="6"/>
        <v>1</v>
      </c>
      <c r="S43">
        <f t="shared" si="11"/>
        <v>2023</v>
      </c>
    </row>
    <row r="44" spans="1:19" x14ac:dyDescent="0.4">
      <c r="A44" t="s">
        <v>89</v>
      </c>
      <c r="B44" s="1">
        <v>44033</v>
      </c>
      <c r="C44" t="s">
        <v>32</v>
      </c>
      <c r="D44" s="3">
        <v>539278.54</v>
      </c>
      <c r="E44" t="s">
        <v>11</v>
      </c>
      <c r="F44" s="23">
        <f t="shared" si="8"/>
        <v>539278.54</v>
      </c>
      <c r="G44" s="74">
        <v>5000000</v>
      </c>
      <c r="H44" s="3">
        <v>18294.75</v>
      </c>
      <c r="I44" t="s">
        <v>12</v>
      </c>
      <c r="J44" t="s">
        <v>29</v>
      </c>
      <c r="K44" t="s">
        <v>59</v>
      </c>
      <c r="L44">
        <f t="shared" ca="1" si="9"/>
        <v>8066</v>
      </c>
      <c r="M44">
        <v>3</v>
      </c>
      <c r="N44">
        <f t="shared" si="10"/>
        <v>1.1037603600000001</v>
      </c>
      <c r="O44" s="24">
        <f t="shared" si="7"/>
        <v>595234.27545067447</v>
      </c>
      <c r="P44" s="24">
        <f t="shared" si="4"/>
        <v>575041.25560456445</v>
      </c>
      <c r="Q44" s="26">
        <f t="shared" si="5"/>
        <v>575041.25560456445</v>
      </c>
      <c r="R44" s="2">
        <f t="shared" si="6"/>
        <v>1</v>
      </c>
      <c r="S44">
        <f t="shared" si="11"/>
        <v>2020</v>
      </c>
    </row>
    <row r="45" spans="1:19" x14ac:dyDescent="0.4">
      <c r="A45" t="s">
        <v>90</v>
      </c>
      <c r="B45" s="1">
        <v>43178</v>
      </c>
      <c r="C45" t="s">
        <v>10</v>
      </c>
      <c r="D45" s="3">
        <v>283973.44</v>
      </c>
      <c r="E45" t="s">
        <v>27</v>
      </c>
      <c r="F45" s="23">
        <f t="shared" si="8"/>
        <v>283973.44</v>
      </c>
      <c r="G45" s="74">
        <v>2000000</v>
      </c>
      <c r="H45" s="3">
        <v>16483.54</v>
      </c>
      <c r="I45" t="s">
        <v>12</v>
      </c>
      <c r="J45" t="s">
        <v>13</v>
      </c>
      <c r="K45" t="s">
        <v>14</v>
      </c>
      <c r="L45">
        <f t="shared" ca="1" si="9"/>
        <v>70609</v>
      </c>
      <c r="M45">
        <v>4</v>
      </c>
      <c r="N45">
        <f t="shared" si="10"/>
        <v>1.2053063131199999</v>
      </c>
      <c r="O45" s="24">
        <f t="shared" si="7"/>
        <v>342274.97999040352</v>
      </c>
      <c r="P45" s="24">
        <f t="shared" si="4"/>
        <v>322407.26516583748</v>
      </c>
      <c r="Q45" s="26">
        <f t="shared" si="5"/>
        <v>322407.26516583748</v>
      </c>
      <c r="R45" s="2">
        <f t="shared" si="6"/>
        <v>1</v>
      </c>
      <c r="S45">
        <f t="shared" si="11"/>
        <v>2018</v>
      </c>
    </row>
    <row r="46" spans="1:19" x14ac:dyDescent="0.4">
      <c r="A46" t="s">
        <v>91</v>
      </c>
      <c r="B46" s="1">
        <v>44738</v>
      </c>
      <c r="C46" t="s">
        <v>21</v>
      </c>
      <c r="D46" s="3">
        <v>482839.65</v>
      </c>
      <c r="E46" t="s">
        <v>11</v>
      </c>
      <c r="F46" s="23">
        <f t="shared" si="8"/>
        <v>482839.65</v>
      </c>
      <c r="G46" s="74">
        <v>5000000</v>
      </c>
      <c r="H46" s="3">
        <v>35298.639999999999</v>
      </c>
      <c r="I46" t="s">
        <v>22</v>
      </c>
      <c r="J46" t="s">
        <v>38</v>
      </c>
      <c r="K46" t="s">
        <v>47</v>
      </c>
      <c r="L46">
        <f t="shared" ca="1" si="9"/>
        <v>63689</v>
      </c>
      <c r="M46">
        <v>1</v>
      </c>
      <c r="N46">
        <f t="shared" si="10"/>
        <v>1.0506</v>
      </c>
      <c r="O46" s="24">
        <f t="shared" si="7"/>
        <v>507271.33629000001</v>
      </c>
      <c r="P46" s="24">
        <f t="shared" si="4"/>
        <v>470186.58510600001</v>
      </c>
      <c r="Q46" s="26">
        <f t="shared" si="5"/>
        <v>470186.58510600001</v>
      </c>
      <c r="R46" s="2">
        <f t="shared" si="6"/>
        <v>1</v>
      </c>
      <c r="S46">
        <f t="shared" si="11"/>
        <v>2022</v>
      </c>
    </row>
    <row r="47" spans="1:19" x14ac:dyDescent="0.4">
      <c r="A47" t="s">
        <v>92</v>
      </c>
      <c r="B47" s="1">
        <v>44472</v>
      </c>
      <c r="C47" t="s">
        <v>26</v>
      </c>
      <c r="D47" s="3">
        <v>683482.94</v>
      </c>
      <c r="E47" t="s">
        <v>33</v>
      </c>
      <c r="F47" s="23">
        <f t="shared" si="8"/>
        <v>683482.94</v>
      </c>
      <c r="G47" s="74">
        <v>5000000</v>
      </c>
      <c r="H47" s="3">
        <v>32947.85</v>
      </c>
      <c r="I47" t="s">
        <v>28</v>
      </c>
      <c r="J47" t="s">
        <v>18</v>
      </c>
      <c r="K47" t="s">
        <v>36</v>
      </c>
      <c r="L47">
        <f t="shared" ca="1" si="9"/>
        <v>65622</v>
      </c>
      <c r="M47">
        <v>6</v>
      </c>
      <c r="N47">
        <f t="shared" si="10"/>
        <v>1.071612</v>
      </c>
      <c r="O47" s="24">
        <f t="shared" si="7"/>
        <v>732428.52029927995</v>
      </c>
      <c r="P47" s="24">
        <f t="shared" si="4"/>
        <v>697121.20886508003</v>
      </c>
      <c r="Q47" s="26">
        <f t="shared" si="5"/>
        <v>697121.20886508003</v>
      </c>
      <c r="R47" s="2">
        <f t="shared" si="6"/>
        <v>1</v>
      </c>
      <c r="S47">
        <f t="shared" si="11"/>
        <v>2021</v>
      </c>
    </row>
    <row r="48" spans="1:19" x14ac:dyDescent="0.4">
      <c r="A48" t="s">
        <v>93</v>
      </c>
      <c r="B48" s="1">
        <v>43847</v>
      </c>
      <c r="C48" t="s">
        <v>16</v>
      </c>
      <c r="D48" s="3">
        <v>783948.23</v>
      </c>
      <c r="E48" t="s">
        <v>11</v>
      </c>
      <c r="F48" s="23">
        <f t="shared" si="8"/>
        <v>783948.23</v>
      </c>
      <c r="G48" s="74">
        <v>5000000</v>
      </c>
      <c r="H48" s="3">
        <v>29582.39</v>
      </c>
      <c r="I48" t="s">
        <v>17</v>
      </c>
      <c r="J48" t="s">
        <v>23</v>
      </c>
      <c r="K48" t="s">
        <v>55</v>
      </c>
      <c r="L48">
        <f t="shared" ca="1" si="9"/>
        <v>51936</v>
      </c>
      <c r="M48">
        <v>2</v>
      </c>
      <c r="N48">
        <f t="shared" si="10"/>
        <v>1.1037603600000001</v>
      </c>
      <c r="O48" s="24">
        <f t="shared" si="7"/>
        <v>865290.98056616285</v>
      </c>
      <c r="P48" s="24">
        <f t="shared" si="4"/>
        <v>832639.11113010242</v>
      </c>
      <c r="Q48" s="26">
        <f t="shared" si="5"/>
        <v>832639.11113010242</v>
      </c>
      <c r="R48" s="2">
        <f t="shared" si="6"/>
        <v>1</v>
      </c>
      <c r="S48">
        <f t="shared" si="11"/>
        <v>2020</v>
      </c>
    </row>
    <row r="49" spans="1:19" x14ac:dyDescent="0.4">
      <c r="A49" t="s">
        <v>94</v>
      </c>
      <c r="B49" s="1">
        <v>43560</v>
      </c>
      <c r="C49" t="s">
        <v>32</v>
      </c>
      <c r="D49" s="3">
        <v>239582.74</v>
      </c>
      <c r="E49" t="s">
        <v>11</v>
      </c>
      <c r="F49" s="23">
        <f t="shared" si="8"/>
        <v>239582.74</v>
      </c>
      <c r="G49" s="74">
        <v>1000000</v>
      </c>
      <c r="H49" s="3">
        <v>21394.23</v>
      </c>
      <c r="I49" t="s">
        <v>12</v>
      </c>
      <c r="J49" t="s">
        <v>13</v>
      </c>
      <c r="K49" t="s">
        <v>24</v>
      </c>
      <c r="L49">
        <f t="shared" ca="1" si="9"/>
        <v>37115</v>
      </c>
      <c r="M49">
        <v>7</v>
      </c>
      <c r="N49">
        <f t="shared" si="10"/>
        <v>1.1479107743999999</v>
      </c>
      <c r="O49" s="24">
        <f t="shared" si="7"/>
        <v>275019.60860627383</v>
      </c>
      <c r="P49" s="24">
        <f t="shared" si="4"/>
        <v>250460.9414792821</v>
      </c>
      <c r="Q49" s="26">
        <f t="shared" si="5"/>
        <v>250460.9414792821</v>
      </c>
      <c r="R49" s="2">
        <f t="shared" si="6"/>
        <v>1</v>
      </c>
      <c r="S49">
        <f t="shared" si="11"/>
        <v>2019</v>
      </c>
    </row>
    <row r="50" spans="1:19" x14ac:dyDescent="0.4">
      <c r="A50" t="s">
        <v>95</v>
      </c>
      <c r="B50" s="1">
        <v>44916</v>
      </c>
      <c r="C50" t="s">
        <v>10</v>
      </c>
      <c r="D50" s="3">
        <v>294738.48</v>
      </c>
      <c r="E50" t="s">
        <v>11</v>
      </c>
      <c r="F50" s="23">
        <f t="shared" si="8"/>
        <v>294738.48</v>
      </c>
      <c r="G50" s="74">
        <v>2000000</v>
      </c>
      <c r="H50" s="3">
        <v>18947.53</v>
      </c>
      <c r="I50" t="s">
        <v>17</v>
      </c>
      <c r="J50" t="s">
        <v>38</v>
      </c>
      <c r="K50" t="s">
        <v>43</v>
      </c>
      <c r="L50">
        <f t="shared" ca="1" si="9"/>
        <v>64208</v>
      </c>
      <c r="M50">
        <v>4</v>
      </c>
      <c r="N50">
        <f t="shared" si="10"/>
        <v>1.0506</v>
      </c>
      <c r="O50" s="24">
        <f t="shared" si="7"/>
        <v>309652.24708799995</v>
      </c>
      <c r="P50" s="24">
        <f t="shared" si="4"/>
        <v>289745.97206999996</v>
      </c>
      <c r="Q50" s="26">
        <f t="shared" si="5"/>
        <v>289745.97206999996</v>
      </c>
      <c r="R50" s="2">
        <f t="shared" si="6"/>
        <v>1</v>
      </c>
      <c r="S50">
        <f t="shared" si="11"/>
        <v>2022</v>
      </c>
    </row>
    <row r="51" spans="1:19" x14ac:dyDescent="0.4">
      <c r="A51" t="s">
        <v>96</v>
      </c>
      <c r="B51" s="1">
        <v>44230</v>
      </c>
      <c r="C51" t="s">
        <v>21</v>
      </c>
      <c r="D51" s="3">
        <v>583948.29</v>
      </c>
      <c r="E51" t="s">
        <v>11</v>
      </c>
      <c r="F51" s="23">
        <f t="shared" si="8"/>
        <v>583948.29</v>
      </c>
      <c r="G51" s="74">
        <v>5000000</v>
      </c>
      <c r="H51" s="3">
        <v>29284.38</v>
      </c>
      <c r="I51" t="s">
        <v>22</v>
      </c>
      <c r="J51" t="s">
        <v>29</v>
      </c>
      <c r="K51" t="s">
        <v>51</v>
      </c>
      <c r="L51">
        <f t="shared" ca="1" si="9"/>
        <v>34288</v>
      </c>
      <c r="M51">
        <v>9</v>
      </c>
      <c r="N51">
        <f t="shared" si="10"/>
        <v>1.071612</v>
      </c>
      <c r="O51" s="24">
        <f t="shared" si="7"/>
        <v>625765.99494348001</v>
      </c>
      <c r="P51" s="24">
        <f t="shared" si="4"/>
        <v>594384.50192292</v>
      </c>
      <c r="Q51" s="26">
        <f t="shared" si="5"/>
        <v>594384.50192292</v>
      </c>
      <c r="R51" s="2">
        <f t="shared" si="6"/>
        <v>1</v>
      </c>
      <c r="S51">
        <f t="shared" si="11"/>
        <v>2021</v>
      </c>
    </row>
    <row r="52" spans="1:19" x14ac:dyDescent="0.4">
      <c r="A52" t="s">
        <v>97</v>
      </c>
      <c r="B52" s="1">
        <v>43902</v>
      </c>
      <c r="C52" t="s">
        <v>26</v>
      </c>
      <c r="D52" s="3">
        <v>784839.21</v>
      </c>
      <c r="E52" t="s">
        <v>27</v>
      </c>
      <c r="F52" s="23">
        <f t="shared" si="8"/>
        <v>784839.21</v>
      </c>
      <c r="G52" s="74">
        <v>5000000</v>
      </c>
      <c r="H52" s="3">
        <v>38947.279999999999</v>
      </c>
      <c r="I52" t="s">
        <v>28</v>
      </c>
      <c r="J52" t="s">
        <v>18</v>
      </c>
      <c r="K52" t="s">
        <v>41</v>
      </c>
      <c r="L52">
        <f t="shared" ca="1" si="9"/>
        <v>51508</v>
      </c>
      <c r="M52">
        <v>3</v>
      </c>
      <c r="N52">
        <f t="shared" si="10"/>
        <v>1.1037603600000001</v>
      </c>
      <c r="O52" s="24">
        <f t="shared" si="7"/>
        <v>866274.4089717156</v>
      </c>
      <c r="P52" s="24">
        <f t="shared" si="4"/>
        <v>823285.94517789478</v>
      </c>
      <c r="Q52" s="26">
        <f t="shared" si="5"/>
        <v>823285.94517789478</v>
      </c>
      <c r="R52" s="2">
        <f t="shared" si="6"/>
        <v>1</v>
      </c>
      <c r="S52">
        <f t="shared" si="11"/>
        <v>2020</v>
      </c>
    </row>
    <row r="53" spans="1:19" x14ac:dyDescent="0.4">
      <c r="A53" t="s">
        <v>98</v>
      </c>
      <c r="B53" s="1">
        <v>45115</v>
      </c>
      <c r="C53" t="s">
        <v>16</v>
      </c>
      <c r="D53" s="3">
        <v>398483.65</v>
      </c>
      <c r="E53" t="s">
        <v>11</v>
      </c>
      <c r="F53" s="23">
        <f t="shared" si="8"/>
        <v>398483.65</v>
      </c>
      <c r="G53" s="74">
        <v>2000000</v>
      </c>
      <c r="H53" s="3">
        <v>28947.38</v>
      </c>
      <c r="I53" t="s">
        <v>17</v>
      </c>
      <c r="J53" t="s">
        <v>23</v>
      </c>
      <c r="K53" t="s">
        <v>39</v>
      </c>
      <c r="L53">
        <f t="shared" ca="1" si="9"/>
        <v>24776</v>
      </c>
      <c r="M53">
        <v>6</v>
      </c>
      <c r="N53">
        <f t="shared" si="10"/>
        <v>1.03</v>
      </c>
      <c r="O53" s="24">
        <f t="shared" si="7"/>
        <v>410438.15950000001</v>
      </c>
      <c r="P53" s="24">
        <f t="shared" si="4"/>
        <v>380622.35810000001</v>
      </c>
      <c r="Q53" s="26">
        <f t="shared" si="5"/>
        <v>380622.35810000001</v>
      </c>
      <c r="R53" s="2">
        <f t="shared" si="6"/>
        <v>1</v>
      </c>
      <c r="S53">
        <f t="shared" si="11"/>
        <v>2023</v>
      </c>
    </row>
    <row r="54" spans="1:19" x14ac:dyDescent="0.4">
      <c r="A54" t="s">
        <v>99</v>
      </c>
      <c r="B54" s="1">
        <v>43366</v>
      </c>
      <c r="C54" t="s">
        <v>32</v>
      </c>
      <c r="D54" s="3">
        <v>485739.23</v>
      </c>
      <c r="E54" t="s">
        <v>11</v>
      </c>
      <c r="F54" s="23">
        <f t="shared" si="8"/>
        <v>485739.23</v>
      </c>
      <c r="G54" s="74">
        <v>5000000</v>
      </c>
      <c r="H54" s="3">
        <v>17395.84</v>
      </c>
      <c r="I54" t="s">
        <v>12</v>
      </c>
      <c r="J54" t="s">
        <v>38</v>
      </c>
      <c r="K54" t="s">
        <v>30</v>
      </c>
      <c r="L54">
        <f t="shared" ca="1" si="9"/>
        <v>36751</v>
      </c>
      <c r="M54">
        <v>8</v>
      </c>
      <c r="N54">
        <f t="shared" si="10"/>
        <v>1.2053063131199999</v>
      </c>
      <c r="O54" s="24">
        <f t="shared" si="7"/>
        <v>585464.5604490476</v>
      </c>
      <c r="P54" s="24">
        <f t="shared" si="4"/>
        <v>564497.2446750222</v>
      </c>
      <c r="Q54" s="26">
        <f t="shared" si="5"/>
        <v>564497.2446750222</v>
      </c>
      <c r="R54" s="2">
        <f t="shared" si="6"/>
        <v>1</v>
      </c>
      <c r="S54">
        <f t="shared" si="11"/>
        <v>2018</v>
      </c>
    </row>
    <row r="55" spans="1:19" x14ac:dyDescent="0.4">
      <c r="A55" t="s">
        <v>100</v>
      </c>
      <c r="B55" s="1">
        <v>43784</v>
      </c>
      <c r="C55" t="s">
        <v>10</v>
      </c>
      <c r="D55" s="3">
        <v>593849.48</v>
      </c>
      <c r="E55" t="s">
        <v>27</v>
      </c>
      <c r="F55" s="23">
        <f t="shared" si="8"/>
        <v>593849.48</v>
      </c>
      <c r="G55" s="74">
        <v>5000000</v>
      </c>
      <c r="H55" s="3">
        <v>38947.58</v>
      </c>
      <c r="I55" t="s">
        <v>17</v>
      </c>
      <c r="J55" t="s">
        <v>13</v>
      </c>
      <c r="K55" t="s">
        <v>19</v>
      </c>
      <c r="L55">
        <f t="shared" ca="1" si="9"/>
        <v>32199</v>
      </c>
      <c r="M55">
        <v>2</v>
      </c>
      <c r="N55">
        <f t="shared" si="10"/>
        <v>1.1479107743999999</v>
      </c>
      <c r="O55" s="24">
        <f t="shared" si="7"/>
        <v>681686.21646383719</v>
      </c>
      <c r="P55" s="24">
        <f t="shared" si="4"/>
        <v>636977.86974503135</v>
      </c>
      <c r="Q55" s="26">
        <f t="shared" si="5"/>
        <v>636977.86974503135</v>
      </c>
      <c r="R55" s="2">
        <f t="shared" si="6"/>
        <v>1</v>
      </c>
      <c r="S55">
        <f t="shared" si="11"/>
        <v>2019</v>
      </c>
    </row>
    <row r="56" spans="1:19" x14ac:dyDescent="0.4">
      <c r="A56" t="s">
        <v>101</v>
      </c>
      <c r="B56" s="1">
        <v>44785</v>
      </c>
      <c r="C56" t="s">
        <v>21</v>
      </c>
      <c r="D56" s="3">
        <v>683849.75</v>
      </c>
      <c r="E56" t="s">
        <v>11</v>
      </c>
      <c r="F56" s="23">
        <f t="shared" si="8"/>
        <v>683849.75</v>
      </c>
      <c r="G56" s="74">
        <v>5000000</v>
      </c>
      <c r="H56" s="3">
        <v>32947.449999999997</v>
      </c>
      <c r="I56" t="s">
        <v>22</v>
      </c>
      <c r="J56" t="s">
        <v>29</v>
      </c>
      <c r="K56" t="s">
        <v>47</v>
      </c>
      <c r="L56">
        <f t="shared" ca="1" si="9"/>
        <v>27730</v>
      </c>
      <c r="M56">
        <v>3</v>
      </c>
      <c r="N56">
        <f t="shared" si="10"/>
        <v>1.0506</v>
      </c>
      <c r="O56" s="24">
        <f t="shared" si="7"/>
        <v>718452.54735000001</v>
      </c>
      <c r="P56" s="24">
        <f t="shared" si="4"/>
        <v>683837.95637999999</v>
      </c>
      <c r="Q56" s="26">
        <f t="shared" si="5"/>
        <v>683837.95637999999</v>
      </c>
      <c r="R56" s="2">
        <f t="shared" si="6"/>
        <v>1</v>
      </c>
      <c r="S56">
        <f t="shared" si="11"/>
        <v>2022</v>
      </c>
    </row>
    <row r="57" spans="1:19" x14ac:dyDescent="0.4">
      <c r="A57" t="s">
        <v>102</v>
      </c>
      <c r="B57" s="1">
        <v>44339</v>
      </c>
      <c r="C57" t="s">
        <v>26</v>
      </c>
      <c r="D57" s="3">
        <v>792483.56</v>
      </c>
      <c r="E57" t="s">
        <v>27</v>
      </c>
      <c r="F57" s="23">
        <f t="shared" si="8"/>
        <v>792483.56</v>
      </c>
      <c r="G57" s="74">
        <v>5000000</v>
      </c>
      <c r="H57" s="3">
        <v>34948.25</v>
      </c>
      <c r="I57" t="s">
        <v>28</v>
      </c>
      <c r="J57" t="s">
        <v>18</v>
      </c>
      <c r="K57" t="s">
        <v>43</v>
      </c>
      <c r="L57">
        <f t="shared" ca="1" si="9"/>
        <v>115872</v>
      </c>
      <c r="M57">
        <v>7</v>
      </c>
      <c r="N57">
        <f t="shared" si="10"/>
        <v>1.071612</v>
      </c>
      <c r="O57" s="24">
        <f t="shared" si="7"/>
        <v>849234.8926987201</v>
      </c>
      <c r="P57" s="24">
        <f t="shared" si="4"/>
        <v>811783.92861972004</v>
      </c>
      <c r="Q57" s="26">
        <f t="shared" si="5"/>
        <v>811783.92861972004</v>
      </c>
      <c r="R57" s="2">
        <f t="shared" si="6"/>
        <v>1</v>
      </c>
      <c r="S57">
        <f t="shared" si="11"/>
        <v>2021</v>
      </c>
    </row>
    <row r="58" spans="1:19" x14ac:dyDescent="0.4">
      <c r="A58" t="s">
        <v>103</v>
      </c>
      <c r="B58" s="1">
        <v>44121</v>
      </c>
      <c r="C58" t="s">
        <v>16</v>
      </c>
      <c r="D58" s="3">
        <v>594837.93999999994</v>
      </c>
      <c r="E58" t="s">
        <v>11</v>
      </c>
      <c r="F58" s="23">
        <f t="shared" si="8"/>
        <v>594837.93999999994</v>
      </c>
      <c r="G58" s="74">
        <v>5000000</v>
      </c>
      <c r="H58" s="3">
        <v>28947.56</v>
      </c>
      <c r="I58" t="s">
        <v>17</v>
      </c>
      <c r="J58" t="s">
        <v>23</v>
      </c>
      <c r="K58" t="s">
        <v>45</v>
      </c>
      <c r="L58">
        <f t="shared" ca="1" si="9"/>
        <v>72632</v>
      </c>
      <c r="M58">
        <v>4</v>
      </c>
      <c r="N58">
        <f t="shared" si="10"/>
        <v>1.1037603600000001</v>
      </c>
      <c r="O58" s="24">
        <f t="shared" si="7"/>
        <v>656558.53879605839</v>
      </c>
      <c r="P58" s="24">
        <f t="shared" si="4"/>
        <v>624607.36954933673</v>
      </c>
      <c r="Q58" s="26">
        <f t="shared" si="5"/>
        <v>624607.36954933673</v>
      </c>
      <c r="R58" s="2">
        <f t="shared" si="6"/>
        <v>1</v>
      </c>
      <c r="S58">
        <f t="shared" si="11"/>
        <v>2020</v>
      </c>
    </row>
    <row r="59" spans="1:19" x14ac:dyDescent="0.4">
      <c r="A59" t="s">
        <v>104</v>
      </c>
      <c r="B59" s="1">
        <v>44998</v>
      </c>
      <c r="C59" t="s">
        <v>32</v>
      </c>
      <c r="D59" s="3">
        <v>472839.28</v>
      </c>
      <c r="E59" t="s">
        <v>11</v>
      </c>
      <c r="F59" s="23">
        <f t="shared" si="8"/>
        <v>472839.28</v>
      </c>
      <c r="G59" s="74">
        <v>5000000</v>
      </c>
      <c r="H59" s="3">
        <v>21938.48</v>
      </c>
      <c r="I59" t="s">
        <v>12</v>
      </c>
      <c r="J59" t="s">
        <v>38</v>
      </c>
      <c r="K59" t="s">
        <v>36</v>
      </c>
      <c r="L59">
        <f t="shared" ca="1" si="9"/>
        <v>28608</v>
      </c>
      <c r="M59">
        <v>6</v>
      </c>
      <c r="N59">
        <f t="shared" si="10"/>
        <v>1.03</v>
      </c>
      <c r="O59" s="24">
        <f t="shared" si="7"/>
        <v>487024.45840000006</v>
      </c>
      <c r="P59" s="24">
        <f t="shared" si="4"/>
        <v>464427.82400000008</v>
      </c>
      <c r="Q59" s="26">
        <f t="shared" si="5"/>
        <v>464427.82400000008</v>
      </c>
      <c r="R59" s="2">
        <f t="shared" si="6"/>
        <v>1</v>
      </c>
      <c r="S59">
        <f t="shared" si="11"/>
        <v>2023</v>
      </c>
    </row>
    <row r="60" spans="1:19" x14ac:dyDescent="0.4">
      <c r="A60" t="s">
        <v>105</v>
      </c>
      <c r="B60" s="1">
        <v>43439</v>
      </c>
      <c r="C60" t="s">
        <v>10</v>
      </c>
      <c r="D60" s="3">
        <v>592483.44999999995</v>
      </c>
      <c r="E60" t="s">
        <v>27</v>
      </c>
      <c r="F60" s="23">
        <f t="shared" si="8"/>
        <v>592483.44999999995</v>
      </c>
      <c r="G60" s="74">
        <v>2000000</v>
      </c>
      <c r="H60" s="3">
        <v>32947.379999999997</v>
      </c>
      <c r="I60" t="s">
        <v>17</v>
      </c>
      <c r="J60" t="s">
        <v>18</v>
      </c>
      <c r="K60" t="s">
        <v>14</v>
      </c>
      <c r="L60">
        <f t="shared" ca="1" si="9"/>
        <v>97527</v>
      </c>
      <c r="M60">
        <v>5</v>
      </c>
      <c r="N60">
        <f t="shared" si="10"/>
        <v>1.2053063131199999</v>
      </c>
      <c r="O60" s="24">
        <f t="shared" si="7"/>
        <v>714124.04270411772</v>
      </c>
      <c r="P60" s="24">
        <f t="shared" si="4"/>
        <v>674412.35758935416</v>
      </c>
      <c r="Q60" s="26">
        <f t="shared" si="5"/>
        <v>674412.35758935416</v>
      </c>
      <c r="R60" s="2">
        <f t="shared" si="6"/>
        <v>1</v>
      </c>
      <c r="S60">
        <f t="shared" si="11"/>
        <v>2018</v>
      </c>
    </row>
    <row r="61" spans="1:19" x14ac:dyDescent="0.4">
      <c r="A61" t="s">
        <v>106</v>
      </c>
      <c r="B61" s="1">
        <v>43645</v>
      </c>
      <c r="C61" t="s">
        <v>21</v>
      </c>
      <c r="D61" s="3">
        <v>839483.29</v>
      </c>
      <c r="E61" t="s">
        <v>11</v>
      </c>
      <c r="F61" s="23">
        <f t="shared" si="8"/>
        <v>839483.29</v>
      </c>
      <c r="G61" s="74">
        <v>5000000</v>
      </c>
      <c r="H61" s="3">
        <v>37948.379999999997</v>
      </c>
      <c r="I61" t="s">
        <v>22</v>
      </c>
      <c r="J61" t="s">
        <v>29</v>
      </c>
      <c r="K61" t="s">
        <v>49</v>
      </c>
      <c r="L61">
        <f t="shared" ca="1" si="9"/>
        <v>86746</v>
      </c>
      <c r="M61">
        <v>3</v>
      </c>
      <c r="N61">
        <f t="shared" si="10"/>
        <v>1.1479107743999999</v>
      </c>
      <c r="O61" s="24">
        <f t="shared" si="7"/>
        <v>963651.91351975978</v>
      </c>
      <c r="P61" s="24">
        <f t="shared" si="4"/>
        <v>920090.55924673425</v>
      </c>
      <c r="Q61" s="26">
        <f t="shared" si="5"/>
        <v>920090.55924673425</v>
      </c>
      <c r="R61" s="2">
        <f t="shared" si="6"/>
        <v>1</v>
      </c>
      <c r="S61">
        <f t="shared" si="11"/>
        <v>2019</v>
      </c>
    </row>
    <row r="62" spans="1:19" x14ac:dyDescent="0.4">
      <c r="A62" t="s">
        <v>107</v>
      </c>
      <c r="B62" s="1">
        <v>44821</v>
      </c>
      <c r="C62" t="s">
        <v>26</v>
      </c>
      <c r="D62" s="3">
        <v>839483.58</v>
      </c>
      <c r="E62" t="s">
        <v>27</v>
      </c>
      <c r="F62" s="23">
        <f t="shared" si="8"/>
        <v>839483.58</v>
      </c>
      <c r="G62" s="74">
        <v>5000000</v>
      </c>
      <c r="H62" s="3">
        <v>38947.449999999997</v>
      </c>
      <c r="I62" t="s">
        <v>28</v>
      </c>
      <c r="J62" t="s">
        <v>38</v>
      </c>
      <c r="K62" t="s">
        <v>39</v>
      </c>
      <c r="L62">
        <f t="shared" ca="1" si="9"/>
        <v>88825</v>
      </c>
      <c r="M62">
        <v>4</v>
      </c>
      <c r="N62">
        <f t="shared" si="10"/>
        <v>1.0506</v>
      </c>
      <c r="O62" s="24">
        <f t="shared" si="7"/>
        <v>881961.44914799999</v>
      </c>
      <c r="P62" s="24">
        <f t="shared" si="4"/>
        <v>841043.25817799999</v>
      </c>
      <c r="Q62" s="26">
        <f t="shared" si="5"/>
        <v>841043.25817799999</v>
      </c>
      <c r="R62" s="2">
        <f t="shared" si="6"/>
        <v>1</v>
      </c>
      <c r="S62">
        <f t="shared" si="11"/>
        <v>2022</v>
      </c>
    </row>
    <row r="63" spans="1:19" x14ac:dyDescent="0.4">
      <c r="A63" t="s">
        <v>108</v>
      </c>
      <c r="B63" s="1">
        <v>44207</v>
      </c>
      <c r="C63" t="s">
        <v>16</v>
      </c>
      <c r="D63" s="3">
        <v>793849.23</v>
      </c>
      <c r="E63" t="s">
        <v>11</v>
      </c>
      <c r="F63" s="23">
        <f t="shared" si="8"/>
        <v>793849.23</v>
      </c>
      <c r="G63" s="74">
        <v>5000000</v>
      </c>
      <c r="H63" s="3">
        <v>29482.48</v>
      </c>
      <c r="I63" t="s">
        <v>17</v>
      </c>
      <c r="J63" t="s">
        <v>23</v>
      </c>
      <c r="K63" t="s">
        <v>51</v>
      </c>
      <c r="L63">
        <f t="shared" ca="1" si="9"/>
        <v>74139</v>
      </c>
      <c r="M63">
        <v>7</v>
      </c>
      <c r="N63">
        <f t="shared" si="10"/>
        <v>1.071612</v>
      </c>
      <c r="O63" s="24">
        <f t="shared" si="7"/>
        <v>850698.36105875997</v>
      </c>
      <c r="P63" s="24">
        <f t="shared" si="4"/>
        <v>819104.58170099999</v>
      </c>
      <c r="Q63" s="26">
        <f t="shared" si="5"/>
        <v>819104.58170099999</v>
      </c>
      <c r="R63" s="2">
        <f t="shared" si="6"/>
        <v>1</v>
      </c>
      <c r="S63">
        <f t="shared" si="11"/>
        <v>2021</v>
      </c>
    </row>
    <row r="64" spans="1:19" x14ac:dyDescent="0.4">
      <c r="A64" t="s">
        <v>109</v>
      </c>
      <c r="B64" s="1">
        <v>43946</v>
      </c>
      <c r="C64" t="s">
        <v>32</v>
      </c>
      <c r="D64" s="3">
        <v>473839.25</v>
      </c>
      <c r="E64" t="s">
        <v>11</v>
      </c>
      <c r="F64" s="23">
        <f t="shared" si="8"/>
        <v>473839.25</v>
      </c>
      <c r="G64" s="74">
        <v>5000000</v>
      </c>
      <c r="H64" s="3">
        <v>27482.38</v>
      </c>
      <c r="I64" t="s">
        <v>12</v>
      </c>
      <c r="J64" t="s">
        <v>29</v>
      </c>
      <c r="K64" t="s">
        <v>59</v>
      </c>
      <c r="L64">
        <f t="shared" ca="1" si="9"/>
        <v>56079</v>
      </c>
      <c r="M64">
        <v>6</v>
      </c>
      <c r="N64">
        <f t="shared" si="10"/>
        <v>1.1037603600000001</v>
      </c>
      <c r="O64" s="24">
        <f t="shared" si="7"/>
        <v>523004.98116213008</v>
      </c>
      <c r="P64" s="24">
        <f t="shared" si="4"/>
        <v>492671.01951967325</v>
      </c>
      <c r="Q64" s="26">
        <f t="shared" si="5"/>
        <v>492671.01951967325</v>
      </c>
      <c r="R64" s="2">
        <f t="shared" si="6"/>
        <v>1</v>
      </c>
      <c r="S64">
        <f t="shared" si="11"/>
        <v>2020</v>
      </c>
    </row>
    <row r="65" spans="1:19" x14ac:dyDescent="0.4">
      <c r="A65" t="s">
        <v>110</v>
      </c>
      <c r="B65" s="1">
        <v>43543</v>
      </c>
      <c r="C65" t="s">
        <v>10</v>
      </c>
      <c r="D65" s="3">
        <v>573849.48</v>
      </c>
      <c r="E65" t="s">
        <v>27</v>
      </c>
      <c r="F65" s="23">
        <f t="shared" si="8"/>
        <v>573849.48</v>
      </c>
      <c r="G65" s="74">
        <v>5000000</v>
      </c>
      <c r="H65" s="3">
        <v>32847.58</v>
      </c>
      <c r="I65" t="s">
        <v>17</v>
      </c>
      <c r="J65" t="s">
        <v>13</v>
      </c>
      <c r="K65" t="s">
        <v>43</v>
      </c>
      <c r="L65">
        <f t="shared" ca="1" si="9"/>
        <v>70751</v>
      </c>
      <c r="M65">
        <v>3</v>
      </c>
      <c r="N65">
        <f t="shared" si="10"/>
        <v>1.1479107743999999</v>
      </c>
      <c r="O65" s="24">
        <f t="shared" si="7"/>
        <v>658728.00097583723</v>
      </c>
      <c r="P65" s="24">
        <f t="shared" si="4"/>
        <v>621021.90998087137</v>
      </c>
      <c r="Q65" s="26">
        <f t="shared" si="5"/>
        <v>621021.90998087137</v>
      </c>
      <c r="R65" s="2">
        <f t="shared" si="6"/>
        <v>1</v>
      </c>
      <c r="S65">
        <f t="shared" si="11"/>
        <v>2019</v>
      </c>
    </row>
    <row r="66" spans="1:19" x14ac:dyDescent="0.4">
      <c r="A66" t="s">
        <v>111</v>
      </c>
      <c r="B66" s="1">
        <v>44959</v>
      </c>
      <c r="C66" t="s">
        <v>21</v>
      </c>
      <c r="D66" s="3">
        <v>683849.75</v>
      </c>
      <c r="E66" t="s">
        <v>11</v>
      </c>
      <c r="F66" s="23">
        <f t="shared" si="8"/>
        <v>683849.75</v>
      </c>
      <c r="G66" s="74">
        <v>5000000</v>
      </c>
      <c r="H66" s="3">
        <v>32947.449999999997</v>
      </c>
      <c r="I66" t="s">
        <v>22</v>
      </c>
      <c r="J66" t="s">
        <v>18</v>
      </c>
      <c r="K66" t="s">
        <v>57</v>
      </c>
      <c r="L66">
        <f t="shared" ref="L66:L101" ca="1" si="12">IF(C66="Cargo Liability",RANDBETWEEN(10000,80000),IF(C66="Collision Liability",RANDBETWEEN(20000,100000),IF(C66="Environmental Pollution",RANDBETWEEN(50000,120000),IF(C66="Damage to Other Vessels",RANDBETWEEN(15000,90000),IF(C66="Injury to Third Parties",RANDBETWEEN(5000,60000))))))</f>
        <v>61632</v>
      </c>
      <c r="M66">
        <v>2</v>
      </c>
      <c r="N66">
        <f t="shared" ref="N66:N101" si="13">IF(YEAR(B66)=2023, 1.03,
   IF(YEAR(B66)=2022, 1.0506,
   IF(YEAR(B66)=2021, 1.071612,
   IF(YEAR(B66)=2020, 1.10376036,
   IF(YEAR(B66)=2019, 1.1479107744,
   IF(YEAR(B66)=2018, 1.20530631312, 1))))))</f>
        <v>1.03</v>
      </c>
      <c r="O66" s="24">
        <f t="shared" si="7"/>
        <v>704365.24250000005</v>
      </c>
      <c r="P66" s="24">
        <f t="shared" si="4"/>
        <v>670429.36900000006</v>
      </c>
      <c r="Q66" s="26">
        <f t="shared" si="5"/>
        <v>670429.36900000006</v>
      </c>
      <c r="R66" s="2">
        <f t="shared" si="6"/>
        <v>1</v>
      </c>
      <c r="S66">
        <f t="shared" si="11"/>
        <v>2023</v>
      </c>
    </row>
    <row r="67" spans="1:19" x14ac:dyDescent="0.4">
      <c r="A67" t="s">
        <v>112</v>
      </c>
      <c r="B67" s="1">
        <v>44753</v>
      </c>
      <c r="C67" t="s">
        <v>26</v>
      </c>
      <c r="D67" s="3">
        <v>683849.45</v>
      </c>
      <c r="E67" t="s">
        <v>27</v>
      </c>
      <c r="F67" s="23">
        <f t="shared" si="8"/>
        <v>683849.45</v>
      </c>
      <c r="G67" s="74">
        <v>5000000</v>
      </c>
      <c r="H67" s="3">
        <v>29482.45</v>
      </c>
      <c r="I67" t="s">
        <v>28</v>
      </c>
      <c r="J67" t="s">
        <v>23</v>
      </c>
      <c r="K67" t="s">
        <v>47</v>
      </c>
      <c r="L67">
        <f t="shared" ca="1" si="12"/>
        <v>85120</v>
      </c>
      <c r="M67">
        <v>4</v>
      </c>
      <c r="N67">
        <f t="shared" si="13"/>
        <v>1.0506</v>
      </c>
      <c r="O67" s="24">
        <f t="shared" ref="O67:O101" si="14">$F67*$N67</f>
        <v>718452.23216999997</v>
      </c>
      <c r="P67" s="24">
        <f t="shared" ref="P67:P101" si="15">($F67-$H67)*$N67</f>
        <v>687477.97019999998</v>
      </c>
      <c r="Q67" s="26">
        <f t="shared" ref="Q67:Q101" si="16">MIN($P67, $G67)</f>
        <v>687477.97019999998</v>
      </c>
      <c r="R67" s="2">
        <f t="shared" ref="R67:R101" si="17">IF(Q67&lt;1000000,1,0)</f>
        <v>1</v>
      </c>
      <c r="S67">
        <f t="shared" ref="S67:S101" si="18">YEAR(B67)</f>
        <v>2022</v>
      </c>
    </row>
    <row r="68" spans="1:19" x14ac:dyDescent="0.4">
      <c r="A68" t="s">
        <v>113</v>
      </c>
      <c r="B68" s="1">
        <v>44369</v>
      </c>
      <c r="C68" t="s">
        <v>16</v>
      </c>
      <c r="D68" s="3">
        <v>573839.54</v>
      </c>
      <c r="E68" t="s">
        <v>11</v>
      </c>
      <c r="F68" s="23">
        <f t="shared" si="8"/>
        <v>573839.54</v>
      </c>
      <c r="G68" s="74">
        <v>5000000</v>
      </c>
      <c r="H68" s="3">
        <v>27839.38</v>
      </c>
      <c r="I68" t="s">
        <v>17</v>
      </c>
      <c r="J68" t="s">
        <v>38</v>
      </c>
      <c r="K68" t="s">
        <v>55</v>
      </c>
      <c r="L68">
        <f t="shared" ca="1" si="12"/>
        <v>42983</v>
      </c>
      <c r="M68">
        <v>5</v>
      </c>
      <c r="N68">
        <f t="shared" si="13"/>
        <v>1.071612</v>
      </c>
      <c r="O68" s="24">
        <f t="shared" si="14"/>
        <v>614933.33713848004</v>
      </c>
      <c r="P68" s="24">
        <f t="shared" si="15"/>
        <v>585100.32345791999</v>
      </c>
      <c r="Q68" s="26">
        <f t="shared" si="16"/>
        <v>585100.32345791999</v>
      </c>
      <c r="R68" s="2">
        <f t="shared" si="17"/>
        <v>1</v>
      </c>
      <c r="S68">
        <f t="shared" si="18"/>
        <v>2021</v>
      </c>
    </row>
    <row r="69" spans="1:19" x14ac:dyDescent="0.4">
      <c r="A69" t="s">
        <v>114</v>
      </c>
      <c r="B69" s="1">
        <v>43857</v>
      </c>
      <c r="C69" t="s">
        <v>32</v>
      </c>
      <c r="D69" s="3">
        <v>572839.44999999995</v>
      </c>
      <c r="E69" t="s">
        <v>11</v>
      </c>
      <c r="F69" s="23">
        <f t="shared" si="8"/>
        <v>572839.44999999995</v>
      </c>
      <c r="G69" s="74">
        <v>5000000</v>
      </c>
      <c r="H69" s="3">
        <v>32947.449999999997</v>
      </c>
      <c r="I69" t="s">
        <v>12</v>
      </c>
      <c r="J69" t="s">
        <v>29</v>
      </c>
      <c r="K69" t="s">
        <v>49</v>
      </c>
      <c r="L69">
        <f t="shared" ca="1" si="12"/>
        <v>31795</v>
      </c>
      <c r="M69">
        <v>3</v>
      </c>
      <c r="N69">
        <f t="shared" si="13"/>
        <v>1.1037603600000001</v>
      </c>
      <c r="O69" s="24">
        <f t="shared" si="14"/>
        <v>632277.47755420196</v>
      </c>
      <c r="P69" s="24">
        <f t="shared" si="15"/>
        <v>595911.3882811201</v>
      </c>
      <c r="Q69" s="26">
        <f t="shared" si="16"/>
        <v>595911.3882811201</v>
      </c>
      <c r="R69" s="2">
        <f t="shared" si="17"/>
        <v>1</v>
      </c>
      <c r="S69">
        <f t="shared" si="18"/>
        <v>2020</v>
      </c>
    </row>
    <row r="70" spans="1:19" x14ac:dyDescent="0.4">
      <c r="A70" t="s">
        <v>115</v>
      </c>
      <c r="B70" s="1">
        <v>43593</v>
      </c>
      <c r="C70" t="s">
        <v>32</v>
      </c>
      <c r="D70" s="3">
        <v>472839.38</v>
      </c>
      <c r="E70" t="s">
        <v>27</v>
      </c>
      <c r="F70" s="23">
        <f t="shared" si="8"/>
        <v>472839.38</v>
      </c>
      <c r="G70" s="74">
        <v>2000000</v>
      </c>
      <c r="H70" s="3">
        <v>29473.84</v>
      </c>
      <c r="I70" t="s">
        <v>17</v>
      </c>
      <c r="J70" t="s">
        <v>23</v>
      </c>
      <c r="K70" t="s">
        <v>65</v>
      </c>
      <c r="L70">
        <f t="shared" ca="1" si="12"/>
        <v>36997</v>
      </c>
      <c r="M70">
        <v>4</v>
      </c>
      <c r="N70">
        <f t="shared" si="13"/>
        <v>1.1479107743999999</v>
      </c>
      <c r="O70" s="24">
        <f t="shared" si="14"/>
        <v>542777.41886261583</v>
      </c>
      <c r="P70" s="24">
        <f t="shared" si="15"/>
        <v>508944.08036367409</v>
      </c>
      <c r="Q70" s="26">
        <f t="shared" si="16"/>
        <v>508944.08036367409</v>
      </c>
      <c r="R70" s="2">
        <f t="shared" si="17"/>
        <v>1</v>
      </c>
      <c r="S70">
        <f t="shared" si="18"/>
        <v>2019</v>
      </c>
    </row>
    <row r="71" spans="1:19" x14ac:dyDescent="0.4">
      <c r="A71" t="s">
        <v>116</v>
      </c>
      <c r="B71" s="1">
        <v>45035</v>
      </c>
      <c r="C71" t="s">
        <v>10</v>
      </c>
      <c r="D71" s="3">
        <v>573849.48</v>
      </c>
      <c r="E71" t="s">
        <v>11</v>
      </c>
      <c r="F71" s="23">
        <f t="shared" si="8"/>
        <v>573849.48</v>
      </c>
      <c r="G71" s="74">
        <v>5000000</v>
      </c>
      <c r="H71" s="3">
        <v>32847.58</v>
      </c>
      <c r="I71" t="s">
        <v>17</v>
      </c>
      <c r="J71" t="s">
        <v>38</v>
      </c>
      <c r="K71" t="s">
        <v>47</v>
      </c>
      <c r="L71">
        <f t="shared" ca="1" si="12"/>
        <v>78112</v>
      </c>
      <c r="M71">
        <v>3</v>
      </c>
      <c r="N71">
        <f t="shared" si="13"/>
        <v>1.03</v>
      </c>
      <c r="O71" s="24">
        <f t="shared" si="14"/>
        <v>591064.96439999994</v>
      </c>
      <c r="P71" s="24">
        <f t="shared" si="15"/>
        <v>557231.95700000005</v>
      </c>
      <c r="Q71" s="26">
        <f t="shared" si="16"/>
        <v>557231.95700000005</v>
      </c>
      <c r="R71" s="2">
        <f t="shared" si="17"/>
        <v>1</v>
      </c>
      <c r="S71">
        <f t="shared" si="18"/>
        <v>2023</v>
      </c>
    </row>
    <row r="72" spans="1:19" x14ac:dyDescent="0.4">
      <c r="A72" t="s">
        <v>117</v>
      </c>
      <c r="B72" s="1">
        <v>44481</v>
      </c>
      <c r="C72" t="s">
        <v>21</v>
      </c>
      <c r="D72" s="3">
        <v>683849.75</v>
      </c>
      <c r="E72" t="s">
        <v>11</v>
      </c>
      <c r="F72" s="23">
        <f t="shared" si="8"/>
        <v>683849.75</v>
      </c>
      <c r="G72" s="74">
        <v>5000000</v>
      </c>
      <c r="H72" s="3">
        <v>37948.379999999997</v>
      </c>
      <c r="I72" t="s">
        <v>22</v>
      </c>
      <c r="J72" t="s">
        <v>29</v>
      </c>
      <c r="K72" t="s">
        <v>53</v>
      </c>
      <c r="L72">
        <f t="shared" ca="1" si="12"/>
        <v>73048</v>
      </c>
      <c r="M72">
        <v>5</v>
      </c>
      <c r="N72">
        <f t="shared" si="13"/>
        <v>1.071612</v>
      </c>
      <c r="O72" s="24">
        <f t="shared" si="14"/>
        <v>732821.59829700005</v>
      </c>
      <c r="P72" s="24">
        <f t="shared" si="15"/>
        <v>692155.65890844003</v>
      </c>
      <c r="Q72" s="26">
        <f t="shared" si="16"/>
        <v>692155.65890844003</v>
      </c>
      <c r="R72" s="2">
        <f t="shared" si="17"/>
        <v>1</v>
      </c>
      <c r="S72">
        <f t="shared" si="18"/>
        <v>2021</v>
      </c>
    </row>
    <row r="73" spans="1:19" x14ac:dyDescent="0.4">
      <c r="A73" t="s">
        <v>118</v>
      </c>
      <c r="B73" s="1">
        <v>44648</v>
      </c>
      <c r="C73" t="s">
        <v>26</v>
      </c>
      <c r="D73" s="3">
        <v>739849.45</v>
      </c>
      <c r="E73" t="s">
        <v>27</v>
      </c>
      <c r="F73" s="23">
        <f t="shared" ref="F73:F101" si="19">$D73</f>
        <v>739849.45</v>
      </c>
      <c r="G73" s="74">
        <v>5000000</v>
      </c>
      <c r="H73" s="3">
        <v>38947.449999999997</v>
      </c>
      <c r="I73" t="s">
        <v>28</v>
      </c>
      <c r="J73" t="s">
        <v>13</v>
      </c>
      <c r="K73" t="s">
        <v>41</v>
      </c>
      <c r="L73">
        <f t="shared" ca="1" si="12"/>
        <v>70683</v>
      </c>
      <c r="M73">
        <v>3</v>
      </c>
      <c r="N73">
        <f t="shared" si="13"/>
        <v>1.0506</v>
      </c>
      <c r="O73" s="24">
        <f t="shared" si="14"/>
        <v>777285.83216999995</v>
      </c>
      <c r="P73" s="24">
        <f t="shared" si="15"/>
        <v>736367.64119999995</v>
      </c>
      <c r="Q73" s="26">
        <f t="shared" si="16"/>
        <v>736367.64119999995</v>
      </c>
      <c r="R73" s="2">
        <f t="shared" si="17"/>
        <v>1</v>
      </c>
      <c r="S73">
        <f t="shared" si="18"/>
        <v>2022</v>
      </c>
    </row>
    <row r="74" spans="1:19" x14ac:dyDescent="0.4">
      <c r="A74" t="s">
        <v>119</v>
      </c>
      <c r="B74" s="1">
        <v>44047</v>
      </c>
      <c r="C74" t="s">
        <v>16</v>
      </c>
      <c r="D74" s="3">
        <v>573839.54</v>
      </c>
      <c r="E74" t="s">
        <v>11</v>
      </c>
      <c r="F74" s="23">
        <f t="shared" si="19"/>
        <v>573839.54</v>
      </c>
      <c r="G74" s="74">
        <v>5000000</v>
      </c>
      <c r="H74" s="3">
        <v>27839.38</v>
      </c>
      <c r="I74" t="s">
        <v>17</v>
      </c>
      <c r="J74" t="s">
        <v>18</v>
      </c>
      <c r="K74" t="s">
        <v>76</v>
      </c>
      <c r="L74">
        <f t="shared" ca="1" si="12"/>
        <v>60607</v>
      </c>
      <c r="M74">
        <v>6</v>
      </c>
      <c r="N74">
        <f t="shared" si="13"/>
        <v>1.1037603600000001</v>
      </c>
      <c r="O74" s="24">
        <f t="shared" si="14"/>
        <v>633381.33725263446</v>
      </c>
      <c r="P74" s="24">
        <f t="shared" si="15"/>
        <v>602653.33316165768</v>
      </c>
      <c r="Q74" s="26">
        <f t="shared" si="16"/>
        <v>602653.33316165768</v>
      </c>
      <c r="R74" s="2">
        <f t="shared" si="17"/>
        <v>1</v>
      </c>
      <c r="S74">
        <f t="shared" si="18"/>
        <v>2020</v>
      </c>
    </row>
    <row r="75" spans="1:19" x14ac:dyDescent="0.4">
      <c r="A75" t="s">
        <v>120</v>
      </c>
      <c r="B75" s="1">
        <v>43268</v>
      </c>
      <c r="C75" t="s">
        <v>32</v>
      </c>
      <c r="D75" s="3">
        <v>572839.44999999995</v>
      </c>
      <c r="E75" t="s">
        <v>11</v>
      </c>
      <c r="F75" s="23">
        <f t="shared" si="19"/>
        <v>572839.44999999995</v>
      </c>
      <c r="G75" s="74">
        <v>5000000</v>
      </c>
      <c r="H75" s="3">
        <v>32947.449999999997</v>
      </c>
      <c r="I75" t="s">
        <v>12</v>
      </c>
      <c r="J75" t="s">
        <v>38</v>
      </c>
      <c r="K75" t="s">
        <v>14</v>
      </c>
      <c r="L75">
        <f t="shared" ca="1" si="12"/>
        <v>15239</v>
      </c>
      <c r="M75">
        <v>3</v>
      </c>
      <c r="N75">
        <f t="shared" si="13"/>
        <v>1.2053063131199999</v>
      </c>
      <c r="O75" s="24">
        <f t="shared" si="14"/>
        <v>690447.00548918848</v>
      </c>
      <c r="P75" s="24">
        <f t="shared" si="15"/>
        <v>650735.23600298294</v>
      </c>
      <c r="Q75" s="26">
        <f t="shared" si="16"/>
        <v>650735.23600298294</v>
      </c>
      <c r="R75" s="2">
        <f t="shared" si="17"/>
        <v>1</v>
      </c>
      <c r="S75">
        <f t="shared" si="18"/>
        <v>2018</v>
      </c>
    </row>
    <row r="76" spans="1:19" x14ac:dyDescent="0.4">
      <c r="A76" t="s">
        <v>121</v>
      </c>
      <c r="B76" s="1">
        <v>45068</v>
      </c>
      <c r="C76" t="s">
        <v>10</v>
      </c>
      <c r="D76" s="3">
        <v>793849.23</v>
      </c>
      <c r="E76" t="s">
        <v>27</v>
      </c>
      <c r="F76" s="23">
        <f t="shared" si="19"/>
        <v>793849.23</v>
      </c>
      <c r="G76" s="74">
        <v>5000000</v>
      </c>
      <c r="H76" s="3">
        <v>29482.48</v>
      </c>
      <c r="I76" t="s">
        <v>17</v>
      </c>
      <c r="J76" t="s">
        <v>29</v>
      </c>
      <c r="K76" t="s">
        <v>34</v>
      </c>
      <c r="L76">
        <f t="shared" ca="1" si="12"/>
        <v>67064</v>
      </c>
      <c r="M76">
        <v>4</v>
      </c>
      <c r="N76">
        <f t="shared" si="13"/>
        <v>1.03</v>
      </c>
      <c r="O76" s="24">
        <f t="shared" si="14"/>
        <v>817664.70689999999</v>
      </c>
      <c r="P76" s="24">
        <f t="shared" si="15"/>
        <v>787297.75250000006</v>
      </c>
      <c r="Q76" s="26">
        <f t="shared" si="16"/>
        <v>787297.75250000006</v>
      </c>
      <c r="R76" s="2">
        <f t="shared" si="17"/>
        <v>1</v>
      </c>
      <c r="S76">
        <f t="shared" si="18"/>
        <v>2023</v>
      </c>
    </row>
    <row r="77" spans="1:19" x14ac:dyDescent="0.4">
      <c r="A77" t="s">
        <v>122</v>
      </c>
      <c r="B77" s="1">
        <v>44383</v>
      </c>
      <c r="C77" t="s">
        <v>21</v>
      </c>
      <c r="D77" s="3">
        <v>573849.48</v>
      </c>
      <c r="E77" t="s">
        <v>11</v>
      </c>
      <c r="F77" s="23">
        <f t="shared" si="19"/>
        <v>573849.48</v>
      </c>
      <c r="G77" s="74">
        <v>5000000</v>
      </c>
      <c r="H77" s="3">
        <v>32847.58</v>
      </c>
      <c r="I77" t="s">
        <v>22</v>
      </c>
      <c r="J77" t="s">
        <v>13</v>
      </c>
      <c r="K77" t="s">
        <v>55</v>
      </c>
      <c r="L77">
        <f t="shared" ca="1" si="12"/>
        <v>28219</v>
      </c>
      <c r="M77">
        <v>3</v>
      </c>
      <c r="N77">
        <f t="shared" si="13"/>
        <v>1.071612</v>
      </c>
      <c r="O77" s="24">
        <f t="shared" si="14"/>
        <v>614943.98896175995</v>
      </c>
      <c r="P77" s="24">
        <f t="shared" si="15"/>
        <v>579744.12806280004</v>
      </c>
      <c r="Q77" s="26">
        <f t="shared" si="16"/>
        <v>579744.12806280004</v>
      </c>
      <c r="R77" s="2">
        <f t="shared" si="17"/>
        <v>1</v>
      </c>
      <c r="S77">
        <f t="shared" si="18"/>
        <v>2021</v>
      </c>
    </row>
    <row r="78" spans="1:19" x14ac:dyDescent="0.4">
      <c r="A78" t="s">
        <v>123</v>
      </c>
      <c r="B78" s="1">
        <v>43879</v>
      </c>
      <c r="C78" t="s">
        <v>26</v>
      </c>
      <c r="D78" s="3">
        <v>572839.44999999995</v>
      </c>
      <c r="E78" t="s">
        <v>11</v>
      </c>
      <c r="F78" s="23">
        <f t="shared" si="19"/>
        <v>572839.44999999995</v>
      </c>
      <c r="G78" s="74">
        <v>5000000</v>
      </c>
      <c r="H78" s="3">
        <v>32947.449999999997</v>
      </c>
      <c r="I78" t="s">
        <v>28</v>
      </c>
      <c r="J78" t="s">
        <v>23</v>
      </c>
      <c r="K78" t="s">
        <v>43</v>
      </c>
      <c r="L78">
        <f t="shared" ca="1" si="12"/>
        <v>59598</v>
      </c>
      <c r="M78">
        <v>6</v>
      </c>
      <c r="N78">
        <f t="shared" si="13"/>
        <v>1.1037603600000001</v>
      </c>
      <c r="O78" s="24">
        <f t="shared" si="14"/>
        <v>632277.47755420196</v>
      </c>
      <c r="P78" s="24">
        <f t="shared" si="15"/>
        <v>595911.3882811201</v>
      </c>
      <c r="Q78" s="26">
        <f t="shared" si="16"/>
        <v>595911.3882811201</v>
      </c>
      <c r="R78" s="2">
        <f t="shared" si="17"/>
        <v>1</v>
      </c>
      <c r="S78">
        <f t="shared" si="18"/>
        <v>2020</v>
      </c>
    </row>
    <row r="79" spans="1:19" x14ac:dyDescent="0.4">
      <c r="A79" t="s">
        <v>124</v>
      </c>
      <c r="B79" s="1">
        <v>44818</v>
      </c>
      <c r="C79" t="s">
        <v>16</v>
      </c>
      <c r="D79" s="3">
        <v>573839.54</v>
      </c>
      <c r="E79" t="s">
        <v>27</v>
      </c>
      <c r="F79" s="23">
        <f t="shared" si="19"/>
        <v>573839.54</v>
      </c>
      <c r="G79" s="74">
        <v>5000000</v>
      </c>
      <c r="H79" s="3">
        <v>27839.38</v>
      </c>
      <c r="I79" t="s">
        <v>17</v>
      </c>
      <c r="J79" t="s">
        <v>18</v>
      </c>
      <c r="K79" t="s">
        <v>39</v>
      </c>
      <c r="L79">
        <f t="shared" ca="1" si="12"/>
        <v>68403</v>
      </c>
      <c r="M79">
        <v>3</v>
      </c>
      <c r="N79">
        <f t="shared" si="13"/>
        <v>1.0506</v>
      </c>
      <c r="O79" s="24">
        <f t="shared" si="14"/>
        <v>602875.82072399999</v>
      </c>
      <c r="P79" s="24">
        <f t="shared" si="15"/>
        <v>573627.76809600007</v>
      </c>
      <c r="Q79" s="26">
        <f t="shared" si="16"/>
        <v>573627.76809600007</v>
      </c>
      <c r="R79" s="2">
        <f t="shared" si="17"/>
        <v>1</v>
      </c>
      <c r="S79">
        <f t="shared" si="18"/>
        <v>2022</v>
      </c>
    </row>
    <row r="80" spans="1:19" x14ac:dyDescent="0.4">
      <c r="A80" t="s">
        <v>125</v>
      </c>
      <c r="B80" s="1">
        <v>44992</v>
      </c>
      <c r="C80" t="s">
        <v>32</v>
      </c>
      <c r="D80" s="3">
        <v>473839.25</v>
      </c>
      <c r="E80" t="s">
        <v>11</v>
      </c>
      <c r="F80" s="23">
        <f t="shared" si="19"/>
        <v>473839.25</v>
      </c>
      <c r="G80" s="74">
        <v>2000000</v>
      </c>
      <c r="H80" s="3">
        <v>27482.38</v>
      </c>
      <c r="I80" t="s">
        <v>12</v>
      </c>
      <c r="J80" t="s">
        <v>38</v>
      </c>
      <c r="K80" t="s">
        <v>24</v>
      </c>
      <c r="L80">
        <f t="shared" ca="1" si="12"/>
        <v>31446</v>
      </c>
      <c r="M80">
        <v>5</v>
      </c>
      <c r="N80">
        <f t="shared" si="13"/>
        <v>1.03</v>
      </c>
      <c r="O80" s="24">
        <f t="shared" si="14"/>
        <v>488054.42749999999</v>
      </c>
      <c r="P80" s="24">
        <f t="shared" si="15"/>
        <v>459747.57610000001</v>
      </c>
      <c r="Q80" s="26">
        <f t="shared" si="16"/>
        <v>459747.57610000001</v>
      </c>
      <c r="R80" s="2">
        <f t="shared" si="17"/>
        <v>1</v>
      </c>
      <c r="S80">
        <f t="shared" si="18"/>
        <v>2023</v>
      </c>
    </row>
    <row r="81" spans="1:19" x14ac:dyDescent="0.4">
      <c r="A81" t="s">
        <v>126</v>
      </c>
      <c r="B81" s="1">
        <v>44531</v>
      </c>
      <c r="C81" t="s">
        <v>10</v>
      </c>
      <c r="D81" s="3">
        <v>573849.48</v>
      </c>
      <c r="E81" t="s">
        <v>11</v>
      </c>
      <c r="F81" s="23">
        <f t="shared" si="19"/>
        <v>573849.48</v>
      </c>
      <c r="G81" s="74">
        <v>5000000</v>
      </c>
      <c r="H81" s="3">
        <v>32847.58</v>
      </c>
      <c r="I81" t="s">
        <v>17</v>
      </c>
      <c r="J81" t="s">
        <v>29</v>
      </c>
      <c r="K81" t="s">
        <v>30</v>
      </c>
      <c r="L81">
        <f t="shared" ca="1" si="12"/>
        <v>67053</v>
      </c>
      <c r="M81">
        <v>7</v>
      </c>
      <c r="N81">
        <f t="shared" si="13"/>
        <v>1.071612</v>
      </c>
      <c r="O81" s="24">
        <f t="shared" si="14"/>
        <v>614943.98896175995</v>
      </c>
      <c r="P81" s="24">
        <f t="shared" si="15"/>
        <v>579744.12806280004</v>
      </c>
      <c r="Q81" s="26">
        <f t="shared" si="16"/>
        <v>579744.12806280004</v>
      </c>
      <c r="R81" s="2">
        <f t="shared" si="17"/>
        <v>1</v>
      </c>
      <c r="S81">
        <f t="shared" si="18"/>
        <v>2021</v>
      </c>
    </row>
    <row r="82" spans="1:19" x14ac:dyDescent="0.4">
      <c r="A82" t="s">
        <v>127</v>
      </c>
      <c r="B82" s="1">
        <v>43987</v>
      </c>
      <c r="C82" t="s">
        <v>21</v>
      </c>
      <c r="D82" s="3">
        <v>683849.75</v>
      </c>
      <c r="E82" t="s">
        <v>11</v>
      </c>
      <c r="F82" s="23">
        <f t="shared" si="19"/>
        <v>683849.75</v>
      </c>
      <c r="G82" s="74">
        <v>5000000</v>
      </c>
      <c r="H82" s="3">
        <v>37948.379999999997</v>
      </c>
      <c r="I82" t="s">
        <v>22</v>
      </c>
      <c r="J82" t="s">
        <v>13</v>
      </c>
      <c r="K82" t="s">
        <v>57</v>
      </c>
      <c r="L82">
        <f t="shared" ca="1" si="12"/>
        <v>54189</v>
      </c>
      <c r="M82">
        <v>3</v>
      </c>
      <c r="N82">
        <f t="shared" si="13"/>
        <v>1.1037603600000001</v>
      </c>
      <c r="O82" s="24">
        <f t="shared" si="14"/>
        <v>754806.24624591006</v>
      </c>
      <c r="P82" s="24">
        <f t="shared" si="15"/>
        <v>712920.32867569325</v>
      </c>
      <c r="Q82" s="26">
        <f t="shared" si="16"/>
        <v>712920.32867569325</v>
      </c>
      <c r="R82" s="2">
        <f t="shared" si="17"/>
        <v>1</v>
      </c>
      <c r="S82">
        <f t="shared" si="18"/>
        <v>2020</v>
      </c>
    </row>
    <row r="83" spans="1:19" x14ac:dyDescent="0.4">
      <c r="A83" t="s">
        <v>128</v>
      </c>
      <c r="B83" s="1">
        <v>43707</v>
      </c>
      <c r="C83" t="s">
        <v>26</v>
      </c>
      <c r="D83" s="3">
        <v>739849.45</v>
      </c>
      <c r="E83" t="s">
        <v>27</v>
      </c>
      <c r="F83" s="23">
        <f t="shared" si="19"/>
        <v>739849.45</v>
      </c>
      <c r="G83" s="74">
        <v>5000000</v>
      </c>
      <c r="H83" s="3">
        <v>38947.449999999997</v>
      </c>
      <c r="I83" t="s">
        <v>28</v>
      </c>
      <c r="J83" t="s">
        <v>23</v>
      </c>
      <c r="K83" t="s">
        <v>51</v>
      </c>
      <c r="L83">
        <f t="shared" ca="1" si="12"/>
        <v>90863</v>
      </c>
      <c r="M83">
        <v>4</v>
      </c>
      <c r="N83">
        <f t="shared" si="13"/>
        <v>1.1479107743999999</v>
      </c>
      <c r="O83" s="24">
        <f t="shared" si="14"/>
        <v>849281.15508891398</v>
      </c>
      <c r="P83" s="24">
        <f t="shared" si="15"/>
        <v>804572.95759850868</v>
      </c>
      <c r="Q83" s="26">
        <f t="shared" si="16"/>
        <v>804572.95759850868</v>
      </c>
      <c r="R83" s="2">
        <f t="shared" si="17"/>
        <v>1</v>
      </c>
      <c r="S83">
        <f t="shared" si="18"/>
        <v>2019</v>
      </c>
    </row>
    <row r="84" spans="1:19" x14ac:dyDescent="0.4">
      <c r="A84" t="s">
        <v>129</v>
      </c>
      <c r="B84" s="1">
        <v>43426</v>
      </c>
      <c r="C84" t="s">
        <v>16</v>
      </c>
      <c r="D84" s="3">
        <v>573839.54</v>
      </c>
      <c r="E84" t="s">
        <v>11</v>
      </c>
      <c r="F84" s="23">
        <f t="shared" si="19"/>
        <v>573839.54</v>
      </c>
      <c r="G84" s="74">
        <v>5000000</v>
      </c>
      <c r="H84" s="3">
        <v>27839.38</v>
      </c>
      <c r="I84" t="s">
        <v>17</v>
      </c>
      <c r="J84" t="s">
        <v>18</v>
      </c>
      <c r="K84" t="s">
        <v>72</v>
      </c>
      <c r="L84">
        <f t="shared" ca="1" si="12"/>
        <v>73144</v>
      </c>
      <c r="M84">
        <v>5</v>
      </c>
      <c r="N84">
        <f t="shared" si="13"/>
        <v>1.2053063131199999</v>
      </c>
      <c r="O84" s="24">
        <f t="shared" si="14"/>
        <v>691652.42027987679</v>
      </c>
      <c r="P84" s="24">
        <f t="shared" si="15"/>
        <v>658097.43981253006</v>
      </c>
      <c r="Q84" s="26">
        <f t="shared" si="16"/>
        <v>658097.43981253006</v>
      </c>
      <c r="R84" s="2">
        <f t="shared" si="17"/>
        <v>1</v>
      </c>
      <c r="S84">
        <f t="shared" si="18"/>
        <v>2018</v>
      </c>
    </row>
    <row r="85" spans="1:19" x14ac:dyDescent="0.4">
      <c r="A85" t="s">
        <v>130</v>
      </c>
      <c r="B85" s="1">
        <v>44955</v>
      </c>
      <c r="C85" t="s">
        <v>32</v>
      </c>
      <c r="D85" s="3">
        <v>572839.44999999995</v>
      </c>
      <c r="E85" t="s">
        <v>11</v>
      </c>
      <c r="F85" s="23">
        <f t="shared" si="19"/>
        <v>572839.44999999995</v>
      </c>
      <c r="G85" s="74">
        <v>5000000</v>
      </c>
      <c r="H85" s="3">
        <v>32947.449999999997</v>
      </c>
      <c r="I85" t="s">
        <v>12</v>
      </c>
      <c r="J85" t="s">
        <v>38</v>
      </c>
      <c r="K85" t="s">
        <v>65</v>
      </c>
      <c r="L85">
        <f t="shared" ca="1" si="12"/>
        <v>14623</v>
      </c>
      <c r="M85">
        <v>6</v>
      </c>
      <c r="N85">
        <f t="shared" si="13"/>
        <v>1.03</v>
      </c>
      <c r="O85" s="24">
        <f t="shared" si="14"/>
        <v>590024.6335</v>
      </c>
      <c r="P85" s="24">
        <f t="shared" si="15"/>
        <v>556088.76</v>
      </c>
      <c r="Q85" s="26">
        <f t="shared" si="16"/>
        <v>556088.76</v>
      </c>
      <c r="R85" s="2">
        <f t="shared" si="17"/>
        <v>1</v>
      </c>
      <c r="S85">
        <f t="shared" si="18"/>
        <v>2023</v>
      </c>
    </row>
    <row r="86" spans="1:19" x14ac:dyDescent="0.4">
      <c r="A86" t="s">
        <v>131</v>
      </c>
      <c r="B86" s="1">
        <v>44296</v>
      </c>
      <c r="C86" t="s">
        <v>10</v>
      </c>
      <c r="D86" s="3">
        <v>793849.23</v>
      </c>
      <c r="E86" t="s">
        <v>27</v>
      </c>
      <c r="F86" s="23">
        <f t="shared" si="19"/>
        <v>793849.23</v>
      </c>
      <c r="G86" s="74">
        <v>5000000</v>
      </c>
      <c r="H86" s="3">
        <v>29482.48</v>
      </c>
      <c r="I86" t="s">
        <v>17</v>
      </c>
      <c r="J86" t="s">
        <v>29</v>
      </c>
      <c r="K86" t="s">
        <v>47</v>
      </c>
      <c r="L86">
        <f t="shared" ca="1" si="12"/>
        <v>81441</v>
      </c>
      <c r="M86">
        <v>4</v>
      </c>
      <c r="N86">
        <f t="shared" si="13"/>
        <v>1.071612</v>
      </c>
      <c r="O86" s="24">
        <f t="shared" si="14"/>
        <v>850698.36105875997</v>
      </c>
      <c r="P86" s="24">
        <f t="shared" si="15"/>
        <v>819104.58170099999</v>
      </c>
      <c r="Q86" s="26">
        <f t="shared" si="16"/>
        <v>819104.58170099999</v>
      </c>
      <c r="R86" s="2">
        <f t="shared" si="17"/>
        <v>1</v>
      </c>
      <c r="S86">
        <f t="shared" si="18"/>
        <v>2021</v>
      </c>
    </row>
    <row r="87" spans="1:19" x14ac:dyDescent="0.4">
      <c r="A87" t="s">
        <v>132</v>
      </c>
      <c r="B87" s="1">
        <v>44032</v>
      </c>
      <c r="C87" t="s">
        <v>21</v>
      </c>
      <c r="D87" s="3">
        <v>573849.48</v>
      </c>
      <c r="E87" t="s">
        <v>11</v>
      </c>
      <c r="F87" s="23">
        <f t="shared" si="19"/>
        <v>573849.48</v>
      </c>
      <c r="G87" s="74">
        <v>5000000</v>
      </c>
      <c r="H87" s="3">
        <v>32847.58</v>
      </c>
      <c r="I87" t="s">
        <v>22</v>
      </c>
      <c r="J87" t="s">
        <v>13</v>
      </c>
      <c r="K87" t="s">
        <v>19</v>
      </c>
      <c r="L87">
        <f t="shared" ca="1" si="12"/>
        <v>83909</v>
      </c>
      <c r="M87">
        <v>3</v>
      </c>
      <c r="N87">
        <f t="shared" si="13"/>
        <v>1.1037603600000001</v>
      </c>
      <c r="O87" s="24">
        <f t="shared" si="14"/>
        <v>633392.3086306128</v>
      </c>
      <c r="P87" s="24">
        <f t="shared" si="15"/>
        <v>597136.45190468407</v>
      </c>
      <c r="Q87" s="26">
        <f t="shared" si="16"/>
        <v>597136.45190468407</v>
      </c>
      <c r="R87" s="2">
        <f t="shared" si="17"/>
        <v>1</v>
      </c>
      <c r="S87">
        <f t="shared" si="18"/>
        <v>2020</v>
      </c>
    </row>
    <row r="88" spans="1:19" x14ac:dyDescent="0.4">
      <c r="A88" t="s">
        <v>133</v>
      </c>
      <c r="B88" s="1">
        <v>43520</v>
      </c>
      <c r="C88" t="s">
        <v>26</v>
      </c>
      <c r="D88" s="3">
        <v>572839.44999999995</v>
      </c>
      <c r="E88" t="s">
        <v>11</v>
      </c>
      <c r="F88" s="23">
        <f t="shared" si="19"/>
        <v>572839.44999999995</v>
      </c>
      <c r="G88" s="74">
        <v>5000000</v>
      </c>
      <c r="H88" s="3">
        <v>32947.449999999997</v>
      </c>
      <c r="I88" t="s">
        <v>28</v>
      </c>
      <c r="J88" t="s">
        <v>18</v>
      </c>
      <c r="K88" t="s">
        <v>49</v>
      </c>
      <c r="L88">
        <f t="shared" ca="1" si="12"/>
        <v>68295</v>
      </c>
      <c r="M88">
        <v>5</v>
      </c>
      <c r="N88">
        <f t="shared" si="13"/>
        <v>1.1479107743999999</v>
      </c>
      <c r="O88" s="24">
        <f t="shared" si="14"/>
        <v>657568.57665636996</v>
      </c>
      <c r="P88" s="24">
        <f t="shared" si="15"/>
        <v>619747.84381236474</v>
      </c>
      <c r="Q88" s="26">
        <f t="shared" si="16"/>
        <v>619747.84381236474</v>
      </c>
      <c r="R88" s="2">
        <f t="shared" si="17"/>
        <v>1</v>
      </c>
      <c r="S88">
        <f t="shared" si="18"/>
        <v>2019</v>
      </c>
    </row>
    <row r="89" spans="1:19" x14ac:dyDescent="0.4">
      <c r="A89" t="s">
        <v>134</v>
      </c>
      <c r="B89" s="1">
        <v>44884</v>
      </c>
      <c r="C89" t="s">
        <v>16</v>
      </c>
      <c r="D89" s="3">
        <v>573839.54</v>
      </c>
      <c r="E89" t="s">
        <v>27</v>
      </c>
      <c r="F89" s="23">
        <f t="shared" si="19"/>
        <v>573839.54</v>
      </c>
      <c r="G89" s="74">
        <v>5000000</v>
      </c>
      <c r="H89" s="3">
        <v>27839.38</v>
      </c>
      <c r="I89" t="s">
        <v>17</v>
      </c>
      <c r="J89" t="s">
        <v>23</v>
      </c>
      <c r="K89" t="s">
        <v>41</v>
      </c>
      <c r="L89">
        <f t="shared" ca="1" si="12"/>
        <v>24253</v>
      </c>
      <c r="M89">
        <v>3</v>
      </c>
      <c r="N89">
        <f t="shared" si="13"/>
        <v>1.0506</v>
      </c>
      <c r="O89" s="24">
        <f t="shared" si="14"/>
        <v>602875.82072399999</v>
      </c>
      <c r="P89" s="24">
        <f t="shared" si="15"/>
        <v>573627.76809600007</v>
      </c>
      <c r="Q89" s="26">
        <f t="shared" si="16"/>
        <v>573627.76809600007</v>
      </c>
      <c r="R89" s="2">
        <f t="shared" si="17"/>
        <v>1</v>
      </c>
      <c r="S89">
        <f t="shared" si="18"/>
        <v>2022</v>
      </c>
    </row>
    <row r="90" spans="1:19" x14ac:dyDescent="0.4">
      <c r="A90" t="s">
        <v>135</v>
      </c>
      <c r="B90" s="1">
        <v>45091</v>
      </c>
      <c r="C90" t="s">
        <v>32</v>
      </c>
      <c r="D90" s="3">
        <v>473839.25</v>
      </c>
      <c r="E90" t="s">
        <v>11</v>
      </c>
      <c r="F90" s="23">
        <f t="shared" si="19"/>
        <v>473839.25</v>
      </c>
      <c r="G90" s="74">
        <v>2000000</v>
      </c>
      <c r="H90" s="3">
        <v>27482.38</v>
      </c>
      <c r="I90" t="s">
        <v>12</v>
      </c>
      <c r="J90" t="s">
        <v>38</v>
      </c>
      <c r="K90" t="s">
        <v>14</v>
      </c>
      <c r="L90">
        <f t="shared" ca="1" si="12"/>
        <v>16248</v>
      </c>
      <c r="M90">
        <v>7</v>
      </c>
      <c r="N90">
        <f t="shared" si="13"/>
        <v>1.03</v>
      </c>
      <c r="O90" s="24">
        <f t="shared" si="14"/>
        <v>488054.42749999999</v>
      </c>
      <c r="P90" s="24">
        <f t="shared" si="15"/>
        <v>459747.57610000001</v>
      </c>
      <c r="Q90" s="26">
        <f t="shared" si="16"/>
        <v>459747.57610000001</v>
      </c>
      <c r="R90" s="2">
        <f t="shared" si="17"/>
        <v>1</v>
      </c>
      <c r="S90">
        <f t="shared" si="18"/>
        <v>2023</v>
      </c>
    </row>
    <row r="91" spans="1:19" x14ac:dyDescent="0.4">
      <c r="A91" t="s">
        <v>136</v>
      </c>
      <c r="B91" s="1">
        <v>44419</v>
      </c>
      <c r="C91" t="s">
        <v>10</v>
      </c>
      <c r="D91" s="3">
        <v>573849.48</v>
      </c>
      <c r="E91" t="s">
        <v>11</v>
      </c>
      <c r="F91" s="23">
        <f t="shared" si="19"/>
        <v>573849.48</v>
      </c>
      <c r="G91" s="74">
        <v>5000000</v>
      </c>
      <c r="H91" s="3">
        <v>32847.58</v>
      </c>
      <c r="I91" t="s">
        <v>17</v>
      </c>
      <c r="J91" t="s">
        <v>29</v>
      </c>
      <c r="K91" t="s">
        <v>39</v>
      </c>
      <c r="L91">
        <f t="shared" ca="1" si="12"/>
        <v>69915</v>
      </c>
      <c r="M91">
        <v>4</v>
      </c>
      <c r="N91">
        <f t="shared" si="13"/>
        <v>1.071612</v>
      </c>
      <c r="O91" s="24">
        <f t="shared" si="14"/>
        <v>614943.98896175995</v>
      </c>
      <c r="P91" s="24">
        <f t="shared" si="15"/>
        <v>579744.12806280004</v>
      </c>
      <c r="Q91" s="26">
        <f t="shared" si="16"/>
        <v>579744.12806280004</v>
      </c>
      <c r="R91" s="2">
        <f t="shared" si="17"/>
        <v>1</v>
      </c>
      <c r="S91">
        <f t="shared" si="18"/>
        <v>2021</v>
      </c>
    </row>
    <row r="92" spans="1:19" x14ac:dyDescent="0.4">
      <c r="A92" t="s">
        <v>137</v>
      </c>
      <c r="B92" s="1">
        <v>44186</v>
      </c>
      <c r="C92" t="s">
        <v>21</v>
      </c>
      <c r="D92" s="3">
        <v>683849.75</v>
      </c>
      <c r="E92" t="s">
        <v>11</v>
      </c>
      <c r="F92" s="23">
        <f t="shared" si="19"/>
        <v>683849.75</v>
      </c>
      <c r="G92" s="74">
        <v>5000000</v>
      </c>
      <c r="H92" s="3">
        <v>37948.379999999997</v>
      </c>
      <c r="I92" t="s">
        <v>22</v>
      </c>
      <c r="J92" t="s">
        <v>13</v>
      </c>
      <c r="K92" t="s">
        <v>36</v>
      </c>
      <c r="L92">
        <f t="shared" ca="1" si="12"/>
        <v>27138</v>
      </c>
      <c r="M92">
        <v>5</v>
      </c>
      <c r="N92">
        <f t="shared" si="13"/>
        <v>1.1037603600000001</v>
      </c>
      <c r="O92" s="24">
        <f t="shared" si="14"/>
        <v>754806.24624591006</v>
      </c>
      <c r="P92" s="24">
        <f t="shared" si="15"/>
        <v>712920.32867569325</v>
      </c>
      <c r="Q92" s="26">
        <f t="shared" si="16"/>
        <v>712920.32867569325</v>
      </c>
      <c r="R92" s="2">
        <f t="shared" si="17"/>
        <v>1</v>
      </c>
      <c r="S92">
        <f t="shared" si="18"/>
        <v>2020</v>
      </c>
    </row>
    <row r="93" spans="1:19" x14ac:dyDescent="0.4">
      <c r="A93" t="s">
        <v>138</v>
      </c>
      <c r="B93" s="1">
        <v>44704</v>
      </c>
      <c r="C93" t="s">
        <v>26</v>
      </c>
      <c r="D93" s="3">
        <v>739849.45</v>
      </c>
      <c r="E93" t="s">
        <v>27</v>
      </c>
      <c r="F93" s="23">
        <f t="shared" si="19"/>
        <v>739849.45</v>
      </c>
      <c r="G93" s="74">
        <v>5000000</v>
      </c>
      <c r="H93" s="3">
        <v>38947.449999999997</v>
      </c>
      <c r="I93" t="s">
        <v>28</v>
      </c>
      <c r="J93" t="s">
        <v>23</v>
      </c>
      <c r="K93" t="s">
        <v>30</v>
      </c>
      <c r="L93">
        <f t="shared" ca="1" si="12"/>
        <v>95926</v>
      </c>
      <c r="M93">
        <v>6</v>
      </c>
      <c r="N93">
        <f t="shared" si="13"/>
        <v>1.0506</v>
      </c>
      <c r="O93" s="24">
        <f t="shared" si="14"/>
        <v>777285.83216999995</v>
      </c>
      <c r="P93" s="24">
        <f t="shared" si="15"/>
        <v>736367.64119999995</v>
      </c>
      <c r="Q93" s="26">
        <f t="shared" si="16"/>
        <v>736367.64119999995</v>
      </c>
      <c r="R93" s="2">
        <f t="shared" si="17"/>
        <v>1</v>
      </c>
      <c r="S93">
        <f t="shared" si="18"/>
        <v>2022</v>
      </c>
    </row>
    <row r="94" spans="1:19" x14ac:dyDescent="0.4">
      <c r="A94" t="s">
        <v>139</v>
      </c>
      <c r="B94" s="1">
        <v>43726</v>
      </c>
      <c r="C94" t="s">
        <v>16</v>
      </c>
      <c r="D94" s="3">
        <v>573839.54</v>
      </c>
      <c r="E94" t="s">
        <v>11</v>
      </c>
      <c r="F94" s="23">
        <f t="shared" si="19"/>
        <v>573839.54</v>
      </c>
      <c r="G94" s="74">
        <v>5000000</v>
      </c>
      <c r="H94" s="3">
        <v>27839.38</v>
      </c>
      <c r="I94" t="s">
        <v>17</v>
      </c>
      <c r="J94" t="s">
        <v>18</v>
      </c>
      <c r="K94" t="s">
        <v>55</v>
      </c>
      <c r="L94">
        <f t="shared" ca="1" si="12"/>
        <v>55813</v>
      </c>
      <c r="M94">
        <v>3</v>
      </c>
      <c r="N94">
        <f t="shared" si="13"/>
        <v>1.1479107743999999</v>
      </c>
      <c r="O94" s="24">
        <f t="shared" si="14"/>
        <v>658716.59074273973</v>
      </c>
      <c r="P94" s="24">
        <f t="shared" si="15"/>
        <v>626759.46648812387</v>
      </c>
      <c r="Q94" s="26">
        <f t="shared" si="16"/>
        <v>626759.46648812387</v>
      </c>
      <c r="R94" s="2">
        <f t="shared" si="17"/>
        <v>1</v>
      </c>
      <c r="S94">
        <f t="shared" si="18"/>
        <v>2019</v>
      </c>
    </row>
    <row r="95" spans="1:19" x14ac:dyDescent="0.4">
      <c r="A95" t="s">
        <v>140</v>
      </c>
      <c r="B95" s="1">
        <v>45109</v>
      </c>
      <c r="C95" t="s">
        <v>32</v>
      </c>
      <c r="D95" s="3">
        <v>572839.44999999995</v>
      </c>
      <c r="E95" t="s">
        <v>11</v>
      </c>
      <c r="F95" s="23">
        <f t="shared" si="19"/>
        <v>572839.44999999995</v>
      </c>
      <c r="G95" s="74">
        <v>5000000</v>
      </c>
      <c r="H95" s="3">
        <v>32947.449999999997</v>
      </c>
      <c r="I95" t="s">
        <v>12</v>
      </c>
      <c r="J95" t="s">
        <v>38</v>
      </c>
      <c r="K95" t="s">
        <v>59</v>
      </c>
      <c r="L95">
        <f t="shared" ca="1" si="12"/>
        <v>57406</v>
      </c>
      <c r="M95">
        <v>4</v>
      </c>
      <c r="N95">
        <f t="shared" si="13"/>
        <v>1.03</v>
      </c>
      <c r="O95" s="24">
        <f t="shared" si="14"/>
        <v>590024.6335</v>
      </c>
      <c r="P95" s="24">
        <f t="shared" si="15"/>
        <v>556088.76</v>
      </c>
      <c r="Q95" s="26">
        <f t="shared" si="16"/>
        <v>556088.76</v>
      </c>
      <c r="R95" s="2">
        <f t="shared" si="17"/>
        <v>1</v>
      </c>
      <c r="S95">
        <f t="shared" si="18"/>
        <v>2023</v>
      </c>
    </row>
    <row r="96" spans="1:19" x14ac:dyDescent="0.4">
      <c r="A96" t="s">
        <v>141</v>
      </c>
      <c r="B96" s="1">
        <v>44281</v>
      </c>
      <c r="C96" t="s">
        <v>10</v>
      </c>
      <c r="D96" s="3">
        <v>793849.23</v>
      </c>
      <c r="E96" t="s">
        <v>27</v>
      </c>
      <c r="F96" s="23">
        <f t="shared" si="19"/>
        <v>793849.23</v>
      </c>
      <c r="G96" s="74">
        <v>5000000</v>
      </c>
      <c r="H96" s="3">
        <v>29482.48</v>
      </c>
      <c r="I96" t="s">
        <v>17</v>
      </c>
      <c r="J96" t="s">
        <v>29</v>
      </c>
      <c r="K96" t="s">
        <v>65</v>
      </c>
      <c r="L96">
        <f t="shared" ca="1" si="12"/>
        <v>87326</v>
      </c>
      <c r="M96">
        <v>3</v>
      </c>
      <c r="N96">
        <f t="shared" si="13"/>
        <v>1.071612</v>
      </c>
      <c r="O96" s="24">
        <f t="shared" si="14"/>
        <v>850698.36105875997</v>
      </c>
      <c r="P96" s="24">
        <f t="shared" si="15"/>
        <v>819104.58170099999</v>
      </c>
      <c r="Q96" s="26">
        <f t="shared" si="16"/>
        <v>819104.58170099999</v>
      </c>
      <c r="R96" s="2">
        <f t="shared" si="17"/>
        <v>1</v>
      </c>
      <c r="S96">
        <f t="shared" si="18"/>
        <v>2021</v>
      </c>
    </row>
    <row r="97" spans="1:19" x14ac:dyDescent="0.4">
      <c r="A97" t="s">
        <v>142</v>
      </c>
      <c r="B97" s="1">
        <v>43890</v>
      </c>
      <c r="C97" t="s">
        <v>21</v>
      </c>
      <c r="D97" s="3">
        <v>573849.48</v>
      </c>
      <c r="E97" t="s">
        <v>11</v>
      </c>
      <c r="F97" s="23">
        <f t="shared" si="19"/>
        <v>573849.48</v>
      </c>
      <c r="G97" s="74">
        <v>5000000</v>
      </c>
      <c r="H97" s="3">
        <v>32847.58</v>
      </c>
      <c r="I97" t="s">
        <v>22</v>
      </c>
      <c r="J97" t="s">
        <v>13</v>
      </c>
      <c r="K97" t="s">
        <v>47</v>
      </c>
      <c r="L97">
        <f t="shared" ca="1" si="12"/>
        <v>20720</v>
      </c>
      <c r="M97">
        <v>6</v>
      </c>
      <c r="N97">
        <f t="shared" si="13"/>
        <v>1.1037603600000001</v>
      </c>
      <c r="O97" s="24">
        <f t="shared" si="14"/>
        <v>633392.3086306128</v>
      </c>
      <c r="P97" s="24">
        <f t="shared" si="15"/>
        <v>597136.45190468407</v>
      </c>
      <c r="Q97" s="26">
        <f t="shared" si="16"/>
        <v>597136.45190468407</v>
      </c>
      <c r="R97" s="2">
        <f t="shared" si="17"/>
        <v>1</v>
      </c>
      <c r="S97">
        <f t="shared" si="18"/>
        <v>2020</v>
      </c>
    </row>
    <row r="98" spans="1:19" x14ac:dyDescent="0.4">
      <c r="A98" t="s">
        <v>143</v>
      </c>
      <c r="B98" s="1">
        <v>43481</v>
      </c>
      <c r="C98" t="s">
        <v>26</v>
      </c>
      <c r="D98" s="3">
        <v>572839.44999999995</v>
      </c>
      <c r="E98" t="s">
        <v>11</v>
      </c>
      <c r="F98" s="23">
        <f t="shared" si="19"/>
        <v>572839.44999999995</v>
      </c>
      <c r="G98" s="74">
        <v>5000000</v>
      </c>
      <c r="H98" s="3">
        <v>32947.449999999997</v>
      </c>
      <c r="I98" t="s">
        <v>28</v>
      </c>
      <c r="J98" t="s">
        <v>18</v>
      </c>
      <c r="K98" t="s">
        <v>34</v>
      </c>
      <c r="L98">
        <f t="shared" ca="1" si="12"/>
        <v>118618</v>
      </c>
      <c r="M98">
        <v>5</v>
      </c>
      <c r="N98">
        <f t="shared" si="13"/>
        <v>1.1479107743999999</v>
      </c>
      <c r="O98" s="24">
        <f t="shared" si="14"/>
        <v>657568.57665636996</v>
      </c>
      <c r="P98" s="24">
        <f t="shared" si="15"/>
        <v>619747.84381236474</v>
      </c>
      <c r="Q98" s="26">
        <f t="shared" si="16"/>
        <v>619747.84381236474</v>
      </c>
      <c r="R98" s="2">
        <f t="shared" si="17"/>
        <v>1</v>
      </c>
      <c r="S98">
        <f t="shared" si="18"/>
        <v>2019</v>
      </c>
    </row>
    <row r="99" spans="1:19" x14ac:dyDescent="0.4">
      <c r="A99" t="s">
        <v>144</v>
      </c>
      <c r="B99" s="1">
        <v>44665</v>
      </c>
      <c r="C99" t="s">
        <v>16</v>
      </c>
      <c r="D99" s="3">
        <v>573839.54</v>
      </c>
      <c r="E99" t="s">
        <v>27</v>
      </c>
      <c r="F99" s="23">
        <f t="shared" si="19"/>
        <v>573839.54</v>
      </c>
      <c r="G99" s="74">
        <v>5000000</v>
      </c>
      <c r="H99" s="3">
        <v>27839.38</v>
      </c>
      <c r="I99" t="s">
        <v>17</v>
      </c>
      <c r="J99" t="s">
        <v>23</v>
      </c>
      <c r="K99" t="s">
        <v>43</v>
      </c>
      <c r="L99">
        <f t="shared" ca="1" si="12"/>
        <v>58923</v>
      </c>
      <c r="M99">
        <v>3</v>
      </c>
      <c r="N99">
        <f t="shared" si="13"/>
        <v>1.0506</v>
      </c>
      <c r="O99" s="24">
        <f t="shared" si="14"/>
        <v>602875.82072399999</v>
      </c>
      <c r="P99" s="24">
        <f t="shared" si="15"/>
        <v>573627.76809600007</v>
      </c>
      <c r="Q99" s="26">
        <f t="shared" si="16"/>
        <v>573627.76809600007</v>
      </c>
      <c r="R99" s="2">
        <f t="shared" si="17"/>
        <v>1</v>
      </c>
      <c r="S99">
        <f t="shared" si="18"/>
        <v>2022</v>
      </c>
    </row>
    <row r="100" spans="1:19" x14ac:dyDescent="0.4">
      <c r="A100" t="s">
        <v>145</v>
      </c>
      <c r="B100" s="1">
        <v>45139</v>
      </c>
      <c r="C100" t="s">
        <v>32</v>
      </c>
      <c r="D100" s="3">
        <v>473839.25</v>
      </c>
      <c r="E100" t="s">
        <v>11</v>
      </c>
      <c r="F100" s="23">
        <f t="shared" si="19"/>
        <v>473839.25</v>
      </c>
      <c r="G100" s="74">
        <v>2000000</v>
      </c>
      <c r="H100" s="3">
        <v>27482.38</v>
      </c>
      <c r="I100" t="s">
        <v>12</v>
      </c>
      <c r="J100" t="s">
        <v>29</v>
      </c>
      <c r="K100" t="s">
        <v>53</v>
      </c>
      <c r="L100">
        <f t="shared" ca="1" si="12"/>
        <v>56385</v>
      </c>
      <c r="M100">
        <v>4</v>
      </c>
      <c r="N100">
        <f t="shared" si="13"/>
        <v>1.03</v>
      </c>
      <c r="O100" s="24">
        <f t="shared" si="14"/>
        <v>488054.42749999999</v>
      </c>
      <c r="P100" s="24">
        <f t="shared" si="15"/>
        <v>459747.57610000001</v>
      </c>
      <c r="Q100" s="26">
        <f t="shared" si="16"/>
        <v>459747.57610000001</v>
      </c>
      <c r="R100" s="2">
        <f t="shared" si="17"/>
        <v>1</v>
      </c>
      <c r="S100">
        <f t="shared" si="18"/>
        <v>2023</v>
      </c>
    </row>
    <row r="101" spans="1:19" x14ac:dyDescent="0.4">
      <c r="A101" t="s">
        <v>146</v>
      </c>
      <c r="B101" s="1">
        <v>44922</v>
      </c>
      <c r="C101" t="s">
        <v>26</v>
      </c>
      <c r="D101" s="3">
        <v>5000000</v>
      </c>
      <c r="E101" t="s">
        <v>33</v>
      </c>
      <c r="F101" s="23">
        <f t="shared" si="19"/>
        <v>5000000</v>
      </c>
      <c r="G101" s="74">
        <v>10000000</v>
      </c>
      <c r="H101" s="3">
        <v>18723.79</v>
      </c>
      <c r="I101" t="s">
        <v>28</v>
      </c>
      <c r="J101" t="s">
        <v>18</v>
      </c>
      <c r="K101" t="s">
        <v>59</v>
      </c>
      <c r="L101">
        <f t="shared" ca="1" si="12"/>
        <v>55548</v>
      </c>
      <c r="M101">
        <v>9</v>
      </c>
      <c r="N101">
        <f t="shared" si="13"/>
        <v>1.0506</v>
      </c>
      <c r="O101" s="24">
        <f t="shared" si="14"/>
        <v>5253000</v>
      </c>
      <c r="P101" s="24">
        <f t="shared" si="15"/>
        <v>5233328.7862259997</v>
      </c>
      <c r="Q101" s="26">
        <f t="shared" si="16"/>
        <v>5233328.7862259997</v>
      </c>
      <c r="R101" s="2">
        <f t="shared" si="17"/>
        <v>0</v>
      </c>
      <c r="S101">
        <f t="shared" si="18"/>
        <v>2022</v>
      </c>
    </row>
  </sheetData>
  <pageMargins left="0.7" right="0.7" top="0.75" bottom="0.75" header="0.3" footer="0.3"/>
  <pageSetup paperSize="9" orientation="portrait"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AF4A3-EC7C-3348-977E-44D82B5A3750}">
  <dimension ref="A1:N69"/>
  <sheetViews>
    <sheetView topLeftCell="A19" zoomScaleNormal="100" workbookViewId="0">
      <selection activeCell="A19" sqref="A19"/>
    </sheetView>
  </sheetViews>
  <sheetFormatPr defaultColWidth="10.6640625" defaultRowHeight="16" x14ac:dyDescent="0.4"/>
  <cols>
    <col min="2" max="2" width="40.75" customWidth="1"/>
    <col min="3" max="3" width="37.33203125" bestFit="1" customWidth="1"/>
    <col min="4" max="4" width="18.25" customWidth="1"/>
    <col min="5" max="5" width="12.33203125" customWidth="1"/>
    <col min="7" max="7" width="31.75" style="6" customWidth="1"/>
    <col min="8" max="11" width="25.58203125" customWidth="1"/>
    <col min="12" max="12" width="19.1640625" customWidth="1"/>
    <col min="14" max="14" width="23.33203125" customWidth="1"/>
    <col min="111" max="111" width="7" bestFit="1" customWidth="1"/>
    <col min="112" max="112" width="10.5" bestFit="1" customWidth="1"/>
  </cols>
  <sheetData>
    <row r="1" spans="2:11" x14ac:dyDescent="0.4">
      <c r="G1" s="18" t="s">
        <v>195</v>
      </c>
      <c r="H1" s="10"/>
      <c r="I1" s="11"/>
    </row>
    <row r="2" spans="2:11" ht="17.5" customHeight="1" x14ac:dyDescent="0.4">
      <c r="B2" s="4" t="s">
        <v>148</v>
      </c>
      <c r="G2" s="98">
        <v>1</v>
      </c>
      <c r="H2" s="99" t="s">
        <v>201</v>
      </c>
      <c r="I2" s="99"/>
      <c r="J2" s="99"/>
      <c r="K2" s="99"/>
    </row>
    <row r="3" spans="2:11" ht="18" thickBot="1" x14ac:dyDescent="0.45">
      <c r="B3" s="4"/>
      <c r="G3" s="98"/>
      <c r="H3" s="99"/>
      <c r="I3" s="99"/>
      <c r="J3" s="99"/>
      <c r="K3" s="99"/>
    </row>
    <row r="4" spans="2:11" ht="16.5" thickBot="1" x14ac:dyDescent="0.45">
      <c r="D4" s="39" t="s">
        <v>184</v>
      </c>
      <c r="E4" s="40" t="s">
        <v>185</v>
      </c>
      <c r="G4" s="41" t="s">
        <v>166</v>
      </c>
      <c r="H4" s="28" t="s">
        <v>173</v>
      </c>
      <c r="I4" s="28" t="s">
        <v>167</v>
      </c>
      <c r="J4" s="50" t="s">
        <v>171</v>
      </c>
      <c r="K4" s="2"/>
    </row>
    <row r="5" spans="2:11" x14ac:dyDescent="0.4">
      <c r="B5" s="36">
        <v>2018</v>
      </c>
      <c r="C5" s="28" t="s">
        <v>149</v>
      </c>
      <c r="D5" s="29">
        <v>1.08</v>
      </c>
      <c r="E5" s="30">
        <f>E6*D6</f>
        <v>1.2053063131200001</v>
      </c>
      <c r="G5" s="43">
        <v>2018</v>
      </c>
      <c r="H5" s="47">
        <f>C15</f>
        <v>45000000</v>
      </c>
      <c r="I5" s="47">
        <f>'Claims data summary'!$B85</f>
        <v>10</v>
      </c>
      <c r="J5" s="52">
        <f>$I5/$H5</f>
        <v>2.2222222222222222E-7</v>
      </c>
    </row>
    <row r="6" spans="2:11" x14ac:dyDescent="0.4">
      <c r="B6" s="37">
        <v>2019</v>
      </c>
      <c r="C6" t="s">
        <v>150</v>
      </c>
      <c r="D6">
        <v>1.05</v>
      </c>
      <c r="E6" s="31">
        <f t="shared" ref="E6:E8" si="0">E7*D7</f>
        <v>1.1479107744000001</v>
      </c>
      <c r="G6" s="43">
        <f>G5+1</f>
        <v>2019</v>
      </c>
      <c r="H6" s="47">
        <f t="shared" ref="H6:H10" si="1">C16</f>
        <v>49000000</v>
      </c>
      <c r="I6" s="47">
        <f>'Claims data summary'!$B86</f>
        <v>17</v>
      </c>
      <c r="J6" s="52">
        <f t="shared" ref="J6:J10" si="2">$I6/$H6</f>
        <v>3.4693877551020406E-7</v>
      </c>
      <c r="K6" s="2"/>
    </row>
    <row r="7" spans="2:11" x14ac:dyDescent="0.4">
      <c r="B7" s="37">
        <v>2020</v>
      </c>
      <c r="C7" t="s">
        <v>151</v>
      </c>
      <c r="D7">
        <v>1.04</v>
      </c>
      <c r="E7" s="31">
        <f>E8*D8</f>
        <v>1.1037603600000001</v>
      </c>
      <c r="G7" s="43">
        <f t="shared" ref="G7:G10" si="3">G6+1</f>
        <v>2020</v>
      </c>
      <c r="H7" s="47">
        <f t="shared" si="1"/>
        <v>41750000</v>
      </c>
      <c r="I7" s="47">
        <f>'Claims data summary'!$B87</f>
        <v>20</v>
      </c>
      <c r="J7" s="52">
        <f t="shared" si="2"/>
        <v>4.7904191616766466E-7</v>
      </c>
    </row>
    <row r="8" spans="2:11" x14ac:dyDescent="0.4">
      <c r="B8" s="37">
        <v>2021</v>
      </c>
      <c r="C8" t="s">
        <v>152</v>
      </c>
      <c r="D8">
        <v>1.03</v>
      </c>
      <c r="E8" s="31">
        <f t="shared" si="0"/>
        <v>1.071612</v>
      </c>
      <c r="G8" s="43">
        <f t="shared" si="3"/>
        <v>2021</v>
      </c>
      <c r="H8" s="47">
        <f t="shared" si="1"/>
        <v>41500000</v>
      </c>
      <c r="I8" s="47">
        <f>'Claims data summary'!$B88</f>
        <v>20</v>
      </c>
      <c r="J8" s="52">
        <f t="shared" si="2"/>
        <v>4.8192771084337348E-7</v>
      </c>
    </row>
    <row r="9" spans="2:11" x14ac:dyDescent="0.4">
      <c r="B9" s="37">
        <v>2022</v>
      </c>
      <c r="C9" t="s">
        <v>153</v>
      </c>
      <c r="D9">
        <v>1.02</v>
      </c>
      <c r="E9" s="31">
        <f>E10*D10</f>
        <v>1.0506</v>
      </c>
      <c r="G9" s="43">
        <f t="shared" si="3"/>
        <v>2022</v>
      </c>
      <c r="H9" s="47">
        <f t="shared" si="1"/>
        <v>43590000</v>
      </c>
      <c r="I9" s="47">
        <f>'Claims data summary'!$B89</f>
        <v>17</v>
      </c>
      <c r="J9" s="52">
        <f t="shared" si="2"/>
        <v>3.8999770589584768E-7</v>
      </c>
      <c r="K9" s="7"/>
    </row>
    <row r="10" spans="2:11" ht="16.5" thickBot="1" x14ac:dyDescent="0.45">
      <c r="B10" s="37">
        <v>2023</v>
      </c>
      <c r="C10" t="s">
        <v>153</v>
      </c>
      <c r="D10">
        <v>1.02</v>
      </c>
      <c r="E10" s="31">
        <f>E11*D11</f>
        <v>1.03</v>
      </c>
      <c r="G10" s="45">
        <f t="shared" si="3"/>
        <v>2023</v>
      </c>
      <c r="H10" s="54">
        <f t="shared" si="1"/>
        <v>44750000</v>
      </c>
      <c r="I10" s="47">
        <f>'Claims data summary'!$B90</f>
        <v>16</v>
      </c>
      <c r="J10" s="52">
        <f t="shared" si="2"/>
        <v>3.5754189944134076E-7</v>
      </c>
    </row>
    <row r="11" spans="2:11" ht="17" customHeight="1" thickBot="1" x14ac:dyDescent="0.45">
      <c r="B11" s="38">
        <v>2024</v>
      </c>
      <c r="C11" s="32" t="s">
        <v>165</v>
      </c>
      <c r="D11" s="32">
        <v>1.03</v>
      </c>
      <c r="E11" s="33">
        <v>1</v>
      </c>
    </row>
    <row r="12" spans="2:11" ht="17" customHeight="1" x14ac:dyDescent="0.4">
      <c r="B12" s="5"/>
      <c r="G12" s="2" t="s">
        <v>194</v>
      </c>
    </row>
    <row r="13" spans="2:11" ht="17" customHeight="1" thickBot="1" x14ac:dyDescent="0.45">
      <c r="B13" s="2" t="s">
        <v>186</v>
      </c>
      <c r="G13" s="98">
        <v>2</v>
      </c>
      <c r="H13" s="101" t="s">
        <v>202</v>
      </c>
      <c r="I13" s="101"/>
      <c r="J13" s="101"/>
      <c r="K13" s="101"/>
    </row>
    <row r="14" spans="2:11" ht="17" customHeight="1" x14ac:dyDescent="0.4">
      <c r="B14" s="41" t="s">
        <v>166</v>
      </c>
      <c r="C14" s="42" t="s">
        <v>187</v>
      </c>
      <c r="G14" s="98"/>
      <c r="H14" s="101"/>
      <c r="I14" s="101"/>
      <c r="J14" s="101"/>
      <c r="K14" s="101"/>
    </row>
    <row r="15" spans="2:11" ht="17" customHeight="1" x14ac:dyDescent="0.4">
      <c r="B15" s="43">
        <v>2018</v>
      </c>
      <c r="C15" s="44">
        <f>45000000</f>
        <v>45000000</v>
      </c>
      <c r="G15" s="98"/>
      <c r="H15" s="101"/>
      <c r="I15" s="101"/>
      <c r="J15" s="101"/>
      <c r="K15" s="101"/>
    </row>
    <row r="16" spans="2:11" ht="17" customHeight="1" x14ac:dyDescent="0.4">
      <c r="B16" s="43">
        <f>B15+1</f>
        <v>2019</v>
      </c>
      <c r="C16" s="44">
        <v>49000000</v>
      </c>
      <c r="G16" s="98"/>
      <c r="H16" s="101"/>
      <c r="I16" s="101"/>
      <c r="J16" s="101"/>
      <c r="K16" s="101"/>
    </row>
    <row r="17" spans="2:11" ht="17" customHeight="1" x14ac:dyDescent="0.4">
      <c r="B17" s="43">
        <f t="shared" ref="B17:B20" si="4">B16+1</f>
        <v>2020</v>
      </c>
      <c r="C17" s="44">
        <v>41750000</v>
      </c>
      <c r="G17" s="55">
        <f>'Claims data summary'!C95/'Claims data summary'!$B95</f>
        <v>616787.64969204203</v>
      </c>
      <c r="H17" s="55"/>
      <c r="I17" s="55"/>
      <c r="J17" s="55"/>
    </row>
    <row r="18" spans="2:11" ht="17" customHeight="1" x14ac:dyDescent="0.4">
      <c r="B18" s="43">
        <f t="shared" si="4"/>
        <v>2021</v>
      </c>
      <c r="C18" s="44">
        <v>41500000</v>
      </c>
      <c r="G18" s="55">
        <f>'Claims data summary'!C96/'Claims data summary'!$B96</f>
        <v>574361.93263034476</v>
      </c>
      <c r="H18" s="55"/>
      <c r="I18" s="55"/>
      <c r="J18" s="55"/>
    </row>
    <row r="19" spans="2:11" ht="17" customHeight="1" x14ac:dyDescent="0.4">
      <c r="B19" s="43">
        <f t="shared" si="4"/>
        <v>2022</v>
      </c>
      <c r="C19" s="44">
        <v>43590000</v>
      </c>
      <c r="G19" s="55">
        <f>'Claims data summary'!C97/'Claims data summary'!$B97</f>
        <v>563794.46623737691</v>
      </c>
      <c r="H19" s="55"/>
      <c r="I19" s="55"/>
      <c r="J19" s="55"/>
    </row>
    <row r="20" spans="2:11" ht="17" customHeight="1" thickBot="1" x14ac:dyDescent="0.45">
      <c r="B20" s="45">
        <f t="shared" si="4"/>
        <v>2023</v>
      </c>
      <c r="C20" s="46">
        <v>44750000</v>
      </c>
      <c r="G20" s="55">
        <f>'Claims data summary'!C98/'Claims data summary'!$B98</f>
        <v>566396.67872775591</v>
      </c>
      <c r="H20" s="55"/>
      <c r="I20" s="55"/>
      <c r="J20" s="55"/>
    </row>
    <row r="21" spans="2:11" ht="17" customHeight="1" thickBot="1" x14ac:dyDescent="0.45">
      <c r="B21" s="18"/>
      <c r="C21" s="47"/>
      <c r="G21" s="55">
        <f>('Claims data summary'!C99-5000000)/'Claims data summary'!$B99</f>
        <v>557084.74811317667</v>
      </c>
      <c r="H21" s="55"/>
      <c r="I21" s="55"/>
      <c r="J21" s="55"/>
    </row>
    <row r="22" spans="2:11" ht="17" customHeight="1" thickBot="1" x14ac:dyDescent="0.45">
      <c r="B22" s="48" t="s">
        <v>188</v>
      </c>
      <c r="C22" s="49">
        <v>40000000</v>
      </c>
      <c r="G22" s="55">
        <f>'Claims data summary'!C100/'Claims data summary'!$B100</f>
        <v>434932.88240625005</v>
      </c>
      <c r="H22" s="34"/>
      <c r="I22" s="34"/>
      <c r="J22" s="34"/>
    </row>
    <row r="23" spans="2:11" ht="17" customHeight="1" x14ac:dyDescent="0.4">
      <c r="B23" s="5"/>
      <c r="G23" s="55"/>
      <c r="H23" s="34"/>
      <c r="I23" s="34"/>
      <c r="J23" s="34"/>
    </row>
    <row r="24" spans="2:11" ht="17" customHeight="1" x14ac:dyDescent="0.4">
      <c r="B24" s="21"/>
      <c r="C24" s="35" t="s">
        <v>174</v>
      </c>
      <c r="D24" s="21"/>
      <c r="G24" s="55"/>
      <c r="H24" s="55"/>
      <c r="I24" s="55"/>
      <c r="J24" s="55"/>
    </row>
    <row r="25" spans="2:11" ht="17" customHeight="1" x14ac:dyDescent="0.4">
      <c r="B25" s="21">
        <v>1</v>
      </c>
      <c r="C25" s="21" t="s">
        <v>175</v>
      </c>
      <c r="D25" s="21"/>
    </row>
    <row r="26" spans="2:11" ht="17" customHeight="1" x14ac:dyDescent="0.4">
      <c r="B26" s="21">
        <v>2</v>
      </c>
      <c r="C26" s="21" t="s">
        <v>176</v>
      </c>
      <c r="D26" s="21"/>
    </row>
    <row r="27" spans="2:11" ht="17" customHeight="1" x14ac:dyDescent="0.4">
      <c r="B27" s="21">
        <v>3</v>
      </c>
      <c r="C27" s="21" t="s">
        <v>189</v>
      </c>
      <c r="D27" s="21"/>
      <c r="G27" s="18" t="s">
        <v>197</v>
      </c>
    </row>
    <row r="28" spans="2:11" ht="17" customHeight="1" x14ac:dyDescent="0.4">
      <c r="B28" s="21">
        <v>4</v>
      </c>
      <c r="C28" s="21" t="s">
        <v>177</v>
      </c>
      <c r="D28" s="21"/>
      <c r="G28" s="98">
        <v>3</v>
      </c>
      <c r="H28" s="96" t="s">
        <v>203</v>
      </c>
      <c r="I28" s="96"/>
      <c r="J28" s="96"/>
      <c r="K28" s="96"/>
    </row>
    <row r="29" spans="2:11" ht="17" customHeight="1" thickBot="1" x14ac:dyDescent="0.45">
      <c r="B29" s="21">
        <v>5</v>
      </c>
      <c r="C29" s="21" t="s">
        <v>190</v>
      </c>
      <c r="D29" s="21"/>
      <c r="G29" s="100"/>
      <c r="H29" s="96"/>
      <c r="I29" s="96"/>
      <c r="J29" s="96"/>
      <c r="K29" s="96"/>
    </row>
    <row r="30" spans="2:11" ht="17" customHeight="1" x14ac:dyDescent="0.4">
      <c r="B30" s="21">
        <v>6</v>
      </c>
      <c r="C30" s="21" t="s">
        <v>191</v>
      </c>
      <c r="D30" s="21"/>
      <c r="G30" s="41" t="s">
        <v>170</v>
      </c>
      <c r="H30" s="56" t="s">
        <v>196</v>
      </c>
      <c r="I30" s="56" t="s">
        <v>171</v>
      </c>
      <c r="J30" s="57" t="s">
        <v>172</v>
      </c>
    </row>
    <row r="31" spans="2:11" ht="17" customHeight="1" x14ac:dyDescent="0.4">
      <c r="B31" s="21">
        <v>7</v>
      </c>
      <c r="C31" s="21" t="s">
        <v>192</v>
      </c>
      <c r="D31" s="21"/>
      <c r="G31" s="51">
        <v>2018</v>
      </c>
      <c r="H31" s="58">
        <f>$G17</f>
        <v>616787.64969204203</v>
      </c>
      <c r="I31" s="59">
        <f>$J5</f>
        <v>2.2222222222222222E-7</v>
      </c>
      <c r="J31" s="60">
        <f>$H31*$I31</f>
        <v>0.13706392215378713</v>
      </c>
    </row>
    <row r="32" spans="2:11" ht="17" customHeight="1" x14ac:dyDescent="0.4">
      <c r="B32" s="21">
        <v>8</v>
      </c>
      <c r="C32" s="21" t="s">
        <v>193</v>
      </c>
      <c r="D32" s="21"/>
      <c r="G32" s="51">
        <v>2019</v>
      </c>
      <c r="H32" s="58">
        <f t="shared" ref="H32:H36" si="5">$G18</f>
        <v>574361.93263034476</v>
      </c>
      <c r="I32" s="59">
        <f t="shared" ref="I32:I36" si="6">$J6</f>
        <v>3.4693877551020406E-7</v>
      </c>
      <c r="J32" s="60">
        <f t="shared" ref="J32:J36" si="7">$H32*$I32</f>
        <v>0.19926842560644614</v>
      </c>
    </row>
    <row r="33" spans="1:11" ht="17" customHeight="1" x14ac:dyDescent="0.4">
      <c r="B33" s="5"/>
      <c r="G33" s="51">
        <v>2020</v>
      </c>
      <c r="H33" s="58">
        <f t="shared" si="5"/>
        <v>563794.46623737691</v>
      </c>
      <c r="I33" s="59">
        <f t="shared" si="6"/>
        <v>4.7904191616766466E-7</v>
      </c>
      <c r="J33" s="60">
        <f t="shared" si="7"/>
        <v>0.27008118143107873</v>
      </c>
    </row>
    <row r="34" spans="1:11" x14ac:dyDescent="0.4">
      <c r="G34" s="51">
        <v>2021</v>
      </c>
      <c r="H34" s="58">
        <f t="shared" si="5"/>
        <v>566396.67872775591</v>
      </c>
      <c r="I34" s="59">
        <f t="shared" si="6"/>
        <v>4.8192771084337348E-7</v>
      </c>
      <c r="J34" s="60">
        <f t="shared" si="7"/>
        <v>0.27296225480855707</v>
      </c>
    </row>
    <row r="35" spans="1:11" ht="15" customHeight="1" x14ac:dyDescent="0.4">
      <c r="C35" s="9"/>
      <c r="E35" s="12"/>
      <c r="G35" s="51">
        <v>2022</v>
      </c>
      <c r="H35" s="58">
        <f t="shared" si="5"/>
        <v>557084.74811317667</v>
      </c>
      <c r="I35" s="59">
        <f t="shared" si="6"/>
        <v>3.8999770589584768E-7</v>
      </c>
      <c r="J35" s="60">
        <f t="shared" si="7"/>
        <v>0.21726177375370506</v>
      </c>
    </row>
    <row r="36" spans="1:11" ht="16.5" thickBot="1" x14ac:dyDescent="0.45">
      <c r="E36" s="12"/>
      <c r="G36" s="53">
        <v>2023</v>
      </c>
      <c r="H36" s="58">
        <f t="shared" si="5"/>
        <v>434932.88240625005</v>
      </c>
      <c r="I36" s="59">
        <f t="shared" si="6"/>
        <v>3.5754189944134076E-7</v>
      </c>
      <c r="J36" s="60">
        <f t="shared" si="7"/>
        <v>0.15550672890502795</v>
      </c>
    </row>
    <row r="37" spans="1:11" x14ac:dyDescent="0.4">
      <c r="A37" s="22">
        <v>5</v>
      </c>
      <c r="B37" s="97" t="s">
        <v>200</v>
      </c>
      <c r="C37" s="97"/>
      <c r="D37" s="97"/>
      <c r="E37" s="97"/>
      <c r="H37" s="14"/>
      <c r="I37" s="15"/>
      <c r="J37" s="7"/>
    </row>
    <row r="38" spans="1:11" x14ac:dyDescent="0.4">
      <c r="B38" s="5" t="s">
        <v>154</v>
      </c>
      <c r="G38" s="27">
        <v>4</v>
      </c>
      <c r="H38" s="97" t="s">
        <v>208</v>
      </c>
      <c r="I38" s="97"/>
      <c r="J38" s="97"/>
      <c r="K38" s="97"/>
    </row>
    <row r="39" spans="1:11" x14ac:dyDescent="0.4">
      <c r="B39" s="70">
        <f t="array" ref="B39">'Claims Data'!O101</f>
        <v>5253000</v>
      </c>
      <c r="H39" s="64"/>
      <c r="I39" s="64"/>
      <c r="J39" s="64"/>
      <c r="K39" s="64"/>
    </row>
    <row r="40" spans="1:11" x14ac:dyDescent="0.4">
      <c r="B40" s="9"/>
      <c r="C40" s="9"/>
      <c r="G40" s="63"/>
      <c r="H40" s="64"/>
      <c r="I40" s="64"/>
      <c r="J40" s="64"/>
      <c r="K40" s="64"/>
    </row>
    <row r="41" spans="1:11" x14ac:dyDescent="0.4">
      <c r="A41" s="22">
        <v>6</v>
      </c>
      <c r="B41" s="97" t="s">
        <v>198</v>
      </c>
      <c r="C41" s="97"/>
      <c r="D41" s="97"/>
      <c r="E41" s="97"/>
      <c r="G41" s="20" t="s">
        <v>168</v>
      </c>
      <c r="H41" s="61">
        <f>AVERAGE(I31:I36)</f>
        <v>3.7961170501344213E-7</v>
      </c>
      <c r="I41" s="6"/>
      <c r="J41" s="13"/>
    </row>
    <row r="42" spans="1:11" x14ac:dyDescent="0.4">
      <c r="B42" s="2" t="s">
        <v>155</v>
      </c>
      <c r="G42" s="20" t="s">
        <v>169</v>
      </c>
      <c r="H42" s="62">
        <f>AVERAGE(H31:H36)</f>
        <v>552226.39296782447</v>
      </c>
      <c r="I42" s="6"/>
      <c r="J42" s="7"/>
      <c r="K42" s="11"/>
    </row>
    <row r="43" spans="1:11" x14ac:dyDescent="0.4">
      <c r="B43" s="34">
        <f>1/(1/20)</f>
        <v>20</v>
      </c>
      <c r="H43" s="6"/>
      <c r="I43" s="6"/>
      <c r="J43" s="7"/>
    </row>
    <row r="44" spans="1:11" x14ac:dyDescent="0.4">
      <c r="G44" s="20" t="s">
        <v>164</v>
      </c>
      <c r="H44" s="16">
        <v>40000000</v>
      </c>
      <c r="I44" s="6"/>
      <c r="J44" s="17"/>
    </row>
    <row r="45" spans="1:11" x14ac:dyDescent="0.4">
      <c r="A45" s="22">
        <v>7</v>
      </c>
      <c r="B45" s="97" t="s">
        <v>199</v>
      </c>
      <c r="C45" s="97"/>
      <c r="D45" s="97"/>
      <c r="E45" s="97"/>
      <c r="G45" s="20"/>
      <c r="H45" s="16"/>
      <c r="I45" s="6"/>
      <c r="J45" s="17"/>
    </row>
    <row r="46" spans="1:11" ht="24.5" customHeight="1" x14ac:dyDescent="0.4">
      <c r="B46" s="2" t="s">
        <v>156</v>
      </c>
      <c r="G46" s="20"/>
      <c r="H46" s="16"/>
      <c r="I46" s="6"/>
      <c r="J46" s="17"/>
    </row>
    <row r="47" spans="1:11" ht="15" customHeight="1" x14ac:dyDescent="0.4">
      <c r="B47" s="69">
        <f>$B39/$B43</f>
        <v>262650</v>
      </c>
      <c r="G47" s="102">
        <v>8</v>
      </c>
      <c r="H47" s="103" t="s">
        <v>209</v>
      </c>
      <c r="I47" s="103"/>
      <c r="J47" s="103"/>
      <c r="K47" s="103"/>
    </row>
    <row r="48" spans="1:11" ht="15" customHeight="1" x14ac:dyDescent="0.4">
      <c r="G48" s="102"/>
      <c r="H48" s="103"/>
      <c r="I48" s="103"/>
      <c r="J48" s="103"/>
      <c r="K48" s="103"/>
    </row>
    <row r="49" spans="7:14" x14ac:dyDescent="0.4">
      <c r="G49" s="18" t="s">
        <v>160</v>
      </c>
    </row>
    <row r="50" spans="7:14" x14ac:dyDescent="0.4">
      <c r="G50" s="6" t="s">
        <v>161</v>
      </c>
      <c r="N50" s="6"/>
    </row>
    <row r="51" spans="7:14" x14ac:dyDescent="0.4">
      <c r="H51" s="8"/>
      <c r="I51" s="8"/>
      <c r="N51" s="6"/>
    </row>
    <row r="52" spans="7:14" x14ac:dyDescent="0.4">
      <c r="G52" s="65">
        <f>(H41*H42*H44)+B47</f>
        <v>8647914.1035175584</v>
      </c>
      <c r="H52" s="8"/>
      <c r="I52" s="8"/>
      <c r="N52" s="6"/>
    </row>
    <row r="53" spans="7:14" x14ac:dyDescent="0.4">
      <c r="G53" s="19"/>
      <c r="N53" s="6"/>
    </row>
    <row r="54" spans="7:14" x14ac:dyDescent="0.4">
      <c r="G54" s="67">
        <v>9</v>
      </c>
      <c r="H54" s="97" t="s">
        <v>178</v>
      </c>
      <c r="I54" s="97"/>
      <c r="J54" s="97"/>
      <c r="K54" s="97"/>
      <c r="N54" s="6"/>
    </row>
    <row r="55" spans="7:14" x14ac:dyDescent="0.4">
      <c r="G55" s="18" t="s">
        <v>162</v>
      </c>
      <c r="N55" s="6"/>
    </row>
    <row r="56" spans="7:14" x14ac:dyDescent="0.4">
      <c r="G56" s="6" t="s">
        <v>163</v>
      </c>
      <c r="H56" s="7"/>
      <c r="I56" s="7"/>
      <c r="N56" s="6"/>
    </row>
    <row r="57" spans="7:14" ht="48" customHeight="1" x14ac:dyDescent="0.4"/>
    <row r="58" spans="7:14" x14ac:dyDescent="0.4">
      <c r="G58" s="66">
        <f>G52*(1+0.3)*(1+0.1)</f>
        <v>12366517.168030109</v>
      </c>
    </row>
    <row r="60" spans="7:14" x14ac:dyDescent="0.4">
      <c r="G60" s="95">
        <v>10</v>
      </c>
      <c r="H60" s="96" t="s">
        <v>210</v>
      </c>
      <c r="I60" s="96"/>
      <c r="J60" s="96"/>
      <c r="K60" s="96"/>
    </row>
    <row r="61" spans="7:14" ht="16" customHeight="1" x14ac:dyDescent="0.4">
      <c r="G61" s="95"/>
      <c r="H61" s="96"/>
      <c r="I61" s="96"/>
      <c r="J61" s="96"/>
      <c r="K61" s="96"/>
    </row>
    <row r="62" spans="7:14" x14ac:dyDescent="0.4">
      <c r="G62" s="95"/>
      <c r="H62" s="96"/>
      <c r="I62" s="96"/>
      <c r="J62" s="96"/>
      <c r="K62" s="96"/>
    </row>
    <row r="63" spans="7:14" x14ac:dyDescent="0.4">
      <c r="G63" s="18" t="s">
        <v>157</v>
      </c>
      <c r="H63" t="s">
        <v>204</v>
      </c>
    </row>
    <row r="64" spans="7:14" x14ac:dyDescent="0.4">
      <c r="G64" s="18" t="s">
        <v>207</v>
      </c>
      <c r="H64" s="69">
        <f>$H42*(1.06)</f>
        <v>585359.97654589394</v>
      </c>
    </row>
    <row r="65" spans="7:9" ht="31" customHeight="1" x14ac:dyDescent="0.4">
      <c r="G65" s="18" t="s">
        <v>168</v>
      </c>
      <c r="H65" s="61">
        <f>H41</f>
        <v>3.7961170501344213E-7</v>
      </c>
    </row>
    <row r="66" spans="7:9" x14ac:dyDescent="0.4">
      <c r="G66" s="18" t="s">
        <v>205</v>
      </c>
      <c r="H66" s="34">
        <f>$H65*$H64*$H44</f>
        <v>8888379.9497286119</v>
      </c>
    </row>
    <row r="67" spans="7:9" x14ac:dyDescent="0.4">
      <c r="G67" s="18" t="s">
        <v>206</v>
      </c>
      <c r="H67" s="68">
        <f>$H66*(1+0.3)*(1+0.1)</f>
        <v>12710383.328111915</v>
      </c>
      <c r="I67" s="8"/>
    </row>
    <row r="69" spans="7:9" x14ac:dyDescent="0.4">
      <c r="G69" s="19"/>
    </row>
  </sheetData>
  <mergeCells count="15">
    <mergeCell ref="B37:E37"/>
    <mergeCell ref="B41:E41"/>
    <mergeCell ref="B45:E45"/>
    <mergeCell ref="G47:G48"/>
    <mergeCell ref="H47:K48"/>
    <mergeCell ref="G60:G62"/>
    <mergeCell ref="H60:K62"/>
    <mergeCell ref="H38:K38"/>
    <mergeCell ref="H54:K54"/>
    <mergeCell ref="G2:G3"/>
    <mergeCell ref="H2:K3"/>
    <mergeCell ref="G28:G29"/>
    <mergeCell ref="H28:K29"/>
    <mergeCell ref="G13:G16"/>
    <mergeCell ref="H13:K16"/>
  </mergeCell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52148-7506-B546-ADF2-E1F7BB8B2568}">
  <dimension ref="A1"/>
  <sheetViews>
    <sheetView tabSelected="1" topLeftCell="A38" zoomScaleNormal="100" workbookViewId="0">
      <selection sqref="A1:XFD1048576"/>
    </sheetView>
  </sheetViews>
  <sheetFormatPr defaultColWidth="10.83203125" defaultRowHeight="16" x14ac:dyDescent="0.4"/>
  <cols>
    <col min="1" max="16384" width="10.83203125" style="104"/>
  </cols>
  <sheetData/>
  <mergeCells count="1">
    <mergeCell ref="A1:XFD1048576"/>
  </mergeCells>
  <pageMargins left="0.7" right="0.7" top="0.75" bottom="0.75" header="0.3" footer="0.3"/>
  <pageSetup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Claims data summary</vt:lpstr>
      <vt:lpstr>Claims Data</vt:lpstr>
      <vt:lpstr>Pure Premium Work</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Young, Aimee</dc:creator>
  <cp:lastModifiedBy>tracy imbosa</cp:lastModifiedBy>
  <dcterms:created xsi:type="dcterms:W3CDTF">2024-09-03T17:44:11Z</dcterms:created>
  <dcterms:modified xsi:type="dcterms:W3CDTF">2025-08-28T18:22:41Z</dcterms:modified>
</cp:coreProperties>
</file>